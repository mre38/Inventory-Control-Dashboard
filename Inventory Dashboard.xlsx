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MC\Desktop\CODING &amp; DESIGN JOURNEY\PROTFOLIO PROJECTS\"/>
    </mc:Choice>
  </mc:AlternateContent>
  <xr:revisionPtr revIDLastSave="0" documentId="13_ncr:1_{BD4560FD-4A52-42CD-89E8-98A4D9E08FAB}" xr6:coauthVersionLast="47" xr6:coauthVersionMax="47" xr10:uidLastSave="{00000000-0000-0000-0000-000000000000}"/>
  <bookViews>
    <workbookView xWindow="-110" yWindow="-110" windowWidth="19420" windowHeight="11020" xr2:uid="{30237340-E6B4-4D8F-8213-F173A3CF930F}"/>
  </bookViews>
  <sheets>
    <sheet name="DashBoard" sheetId="9" r:id="rId1"/>
    <sheet name="Products" sheetId="4" r:id="rId2"/>
    <sheet name="QuantityOnHand" sheetId="8" r:id="rId3"/>
    <sheet name="Recieved" sheetId="6" r:id="rId4"/>
    <sheet name="Out Of Stock" sheetId="7" r:id="rId5"/>
    <sheet name="calculations" sheetId="5" r:id="rId6"/>
  </sheets>
  <definedNames>
    <definedName name="ProductList">#REF!</definedName>
  </definedNames>
  <calcPr calcId="191029"/>
  <pivotCaches>
    <pivotCache cacheId="6" r:id="rId7"/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9" l="1" a="1"/>
  <c r="F18" i="9" s="1"/>
  <c r="G18" i="9" s="1"/>
  <c r="B14" i="5"/>
  <c r="B4" i="5"/>
  <c r="B8" i="5"/>
  <c r="G19" i="9" l="1"/>
  <c r="J22" i="9"/>
  <c r="K22" i="9" s="1"/>
  <c r="L22" i="9" s="1"/>
  <c r="G26" i="9"/>
  <c r="J18" i="9"/>
  <c r="K18" i="9" s="1"/>
  <c r="L18" i="9" s="1"/>
  <c r="J21" i="9"/>
  <c r="K21" i="9" s="1"/>
  <c r="L21" i="9" s="1"/>
  <c r="G25" i="9"/>
  <c r="J28" i="9"/>
  <c r="K28" i="9" s="1"/>
  <c r="L28" i="9" s="1"/>
  <c r="J20" i="9"/>
  <c r="K20" i="9" s="1"/>
  <c r="L20" i="9" s="1"/>
  <c r="G27" i="9"/>
  <c r="G24" i="9"/>
  <c r="J27" i="9"/>
  <c r="K27" i="9" s="1"/>
  <c r="L27" i="9" s="1"/>
  <c r="J19" i="9"/>
  <c r="K19" i="9" s="1"/>
  <c r="L19" i="9" s="1"/>
  <c r="G23" i="9"/>
  <c r="J26" i="9"/>
  <c r="K26" i="9" s="1"/>
  <c r="L26" i="9" s="1"/>
  <c r="G22" i="9"/>
  <c r="J25" i="9"/>
  <c r="K25" i="9" s="1"/>
  <c r="L25" i="9" s="1"/>
  <c r="G21" i="9"/>
  <c r="J24" i="9"/>
  <c r="K24" i="9" s="1"/>
  <c r="L24" i="9" s="1"/>
  <c r="G28" i="9"/>
  <c r="G20" i="9"/>
  <c r="J23" i="9"/>
  <c r="K23" i="9" s="1"/>
  <c r="L23" i="9" s="1"/>
  <c r="J13" i="8" l="1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12" i="8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9" i="6"/>
  <c r="F9" i="8"/>
  <c r="F10" i="8"/>
  <c r="F11" i="8"/>
  <c r="F12" i="8"/>
  <c r="F13" i="8"/>
  <c r="F14" i="8"/>
  <c r="F15" i="8"/>
  <c r="F16" i="8"/>
  <c r="G16" i="8" s="1"/>
  <c r="F17" i="8"/>
  <c r="F18" i="8"/>
  <c r="F19" i="8"/>
  <c r="F20" i="8"/>
  <c r="F21" i="8"/>
  <c r="F22" i="8"/>
  <c r="F23" i="8"/>
  <c r="F24" i="8"/>
  <c r="G24" i="8" s="1"/>
  <c r="F25" i="8"/>
  <c r="F26" i="8"/>
  <c r="F27" i="8"/>
  <c r="F28" i="8"/>
  <c r="H9" i="7"/>
  <c r="H10" i="7"/>
  <c r="J9" i="8" s="1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G9" i="8"/>
  <c r="H9" i="8" s="1"/>
  <c r="G10" i="8"/>
  <c r="I10" i="8" s="1"/>
  <c r="G11" i="8"/>
  <c r="H11" i="8" s="1"/>
  <c r="G12" i="8"/>
  <c r="I12" i="8" s="1"/>
  <c r="H12" i="8"/>
  <c r="G13" i="8"/>
  <c r="I13" i="8" s="1"/>
  <c r="G14" i="8"/>
  <c r="I14" i="8" s="1"/>
  <c r="G15" i="8"/>
  <c r="H15" i="8" s="1"/>
  <c r="G17" i="8"/>
  <c r="I17" i="8" s="1"/>
  <c r="G18" i="8"/>
  <c r="I18" i="8" s="1"/>
  <c r="G19" i="8"/>
  <c r="H19" i="8" s="1"/>
  <c r="G20" i="8"/>
  <c r="H20" i="8" s="1"/>
  <c r="G21" i="8"/>
  <c r="I21" i="8" s="1"/>
  <c r="G22" i="8"/>
  <c r="I22" i="8" s="1"/>
  <c r="G23" i="8"/>
  <c r="H23" i="8" s="1"/>
  <c r="G25" i="8"/>
  <c r="I25" i="8" s="1"/>
  <c r="G26" i="8"/>
  <c r="I26" i="8" s="1"/>
  <c r="H26" i="8"/>
  <c r="G27" i="8"/>
  <c r="H27" i="8" s="1"/>
  <c r="G28" i="8"/>
  <c r="H28" i="8"/>
  <c r="I28" i="8"/>
  <c r="J10" i="8" l="1"/>
  <c r="L25" i="8"/>
  <c r="L16" i="8"/>
  <c r="K15" i="8"/>
  <c r="L22" i="8"/>
  <c r="L21" i="8"/>
  <c r="L13" i="8"/>
  <c r="L28" i="8"/>
  <c r="L12" i="8"/>
  <c r="K27" i="8"/>
  <c r="K19" i="8"/>
  <c r="J11" i="8"/>
  <c r="K26" i="8"/>
  <c r="L18" i="8"/>
  <c r="L17" i="8"/>
  <c r="I16" i="8"/>
  <c r="H16" i="8"/>
  <c r="H24" i="8"/>
  <c r="I24" i="8"/>
  <c r="H25" i="8"/>
  <c r="I20" i="8"/>
  <c r="K28" i="8"/>
  <c r="I15" i="8"/>
  <c r="I11" i="8"/>
  <c r="H14" i="8"/>
  <c r="L24" i="8"/>
  <c r="L14" i="8"/>
  <c r="K11" i="8"/>
  <c r="K20" i="8"/>
  <c r="L10" i="8"/>
  <c r="K25" i="8"/>
  <c r="H10" i="8"/>
  <c r="H21" i="8"/>
  <c r="H17" i="8"/>
  <c r="K17" i="8" s="1"/>
  <c r="H13" i="8"/>
  <c r="I27" i="8"/>
  <c r="I23" i="8"/>
  <c r="L23" i="8" s="1"/>
  <c r="I19" i="8"/>
  <c r="K23" i="8"/>
  <c r="H22" i="8"/>
  <c r="H18" i="8"/>
  <c r="K18" i="8" s="1"/>
  <c r="K9" i="8"/>
  <c r="I9" i="8"/>
  <c r="L9" i="8" s="1"/>
  <c r="K22" i="8" l="1"/>
  <c r="L27" i="8"/>
  <c r="L15" i="8"/>
  <c r="L19" i="8"/>
  <c r="L11" i="8"/>
  <c r="L20" i="8"/>
  <c r="K12" i="8"/>
  <c r="L26" i="8"/>
  <c r="K21" i="8"/>
  <c r="K10" i="8"/>
  <c r="K24" i="8"/>
  <c r="K16" i="8"/>
  <c r="K14" i="8"/>
  <c r="K1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<sst xmlns="http://schemas.openxmlformats.org/spreadsheetml/2006/main" count="350" uniqueCount="104">
  <si>
    <t>jim.simons@gmail.com</t>
  </si>
  <si>
    <t>Jim Simons</t>
  </si>
  <si>
    <t>jeff.yass@gmail.com</t>
  </si>
  <si>
    <t>Jeff Yass</t>
  </si>
  <si>
    <t>miriam.adelson@gmail.com</t>
  </si>
  <si>
    <t>Miriam Adelson</t>
  </si>
  <si>
    <t>ken.griffin@gmail.com</t>
  </si>
  <si>
    <t>Ken Griffin</t>
  </si>
  <si>
    <t>arya.janne@gmail.com</t>
  </si>
  <si>
    <t>Arya Janne</t>
  </si>
  <si>
    <t>mikel.artena@gmail.com</t>
  </si>
  <si>
    <t>Mikel Artena</t>
  </si>
  <si>
    <t>josh.smith@gmail.com</t>
  </si>
  <si>
    <t>Josh Smith</t>
  </si>
  <si>
    <t>sam.allargine@gmail.com</t>
  </si>
  <si>
    <t>Sam Allargine</t>
  </si>
  <si>
    <t>mike.dean@gmail.com</t>
  </si>
  <si>
    <t>Mike Dean</t>
  </si>
  <si>
    <t>Email Address</t>
  </si>
  <si>
    <t>Contact Name</t>
  </si>
  <si>
    <t>Reorder</t>
  </si>
  <si>
    <t>Products</t>
  </si>
  <si>
    <t>ProductID</t>
  </si>
  <si>
    <t>ProductName</t>
  </si>
  <si>
    <t>Category</t>
  </si>
  <si>
    <t>Cost/Unit</t>
  </si>
  <si>
    <t>ReorderLevel</t>
  </si>
  <si>
    <t>Supplier</t>
  </si>
  <si>
    <t>P001</t>
  </si>
  <si>
    <t>Rainbow Socks</t>
  </si>
  <si>
    <t>Apparel</t>
  </si>
  <si>
    <t>CozyWear Co.</t>
  </si>
  <si>
    <t>P002</t>
  </si>
  <si>
    <t>Bubble Tea Kit</t>
  </si>
  <si>
    <t>Food &amp; Drink</t>
  </si>
  <si>
    <t>Tasty Treats Ltd.</t>
  </si>
  <si>
    <t>P003</t>
  </si>
  <si>
    <t>LED Fidget Spinner</t>
  </si>
  <si>
    <t>Toys &amp; Gadgets</t>
  </si>
  <si>
    <t>FunZone Imports</t>
  </si>
  <si>
    <t>P004</t>
  </si>
  <si>
    <t>Gourmet Popcorn Pack</t>
  </si>
  <si>
    <t>Snack Masters</t>
  </si>
  <si>
    <t>P005</t>
  </si>
  <si>
    <t>Pocket Notebook</t>
  </si>
  <si>
    <t>Stationery</t>
  </si>
  <si>
    <t>PaperWorks Supplies</t>
  </si>
  <si>
    <t>P006</t>
  </si>
  <si>
    <t>Slime DIY Kit</t>
  </si>
  <si>
    <t>P007</t>
  </si>
  <si>
    <t>Reusable Water Bottle</t>
  </si>
  <si>
    <t>Lifestyle</t>
  </si>
  <si>
    <t>EcoLiving Pty Ltd.</t>
  </si>
  <si>
    <t>P008</t>
  </si>
  <si>
    <t>Chocolate Pretzel Mix</t>
  </si>
  <si>
    <t>P009</t>
  </si>
  <si>
    <t>Mini Desk Plant</t>
  </si>
  <si>
    <t>GreenThumb Supplies</t>
  </si>
  <si>
    <t>P010</t>
  </si>
  <si>
    <t>Glow-in-the-Dark Mug</t>
  </si>
  <si>
    <t>CozyHome Traders</t>
  </si>
  <si>
    <t>P011</t>
  </si>
  <si>
    <t>Scented Candle Tin</t>
  </si>
  <si>
    <t>P012</t>
  </si>
  <si>
    <t>Travel Card Holder</t>
  </si>
  <si>
    <t>Urban Style Ltd.</t>
  </si>
  <si>
    <t>P013</t>
  </si>
  <si>
    <t>Cotton Tote Bag</t>
  </si>
  <si>
    <t>P014</t>
  </si>
  <si>
    <t>Jelly Bean Jar</t>
  </si>
  <si>
    <t>Sweet Treats Co.</t>
  </si>
  <si>
    <t>P015</t>
  </si>
  <si>
    <t>Magnetic Bookmark Set</t>
  </si>
  <si>
    <t>P016</t>
  </si>
  <si>
    <t>Puzzle Cube Keychain</t>
  </si>
  <si>
    <t>P017</t>
  </si>
  <si>
    <t>Bamboo Cutlery Set</t>
  </si>
  <si>
    <t>P018</t>
  </si>
  <si>
    <t>Comic-Themed Notebook</t>
  </si>
  <si>
    <t>P019</t>
  </si>
  <si>
    <t>Spicy Snack Mix</t>
  </si>
  <si>
    <t>P020</t>
  </si>
  <si>
    <t>Retro Arcade Keyring</t>
  </si>
  <si>
    <t>Reorder Level</t>
  </si>
  <si>
    <t>QuantityOnHand</t>
  </si>
  <si>
    <t>Stock Value</t>
  </si>
  <si>
    <t>Quantity</t>
  </si>
  <si>
    <t>Type</t>
  </si>
  <si>
    <t>Received</t>
  </si>
  <si>
    <t>Date</t>
  </si>
  <si>
    <t>Out</t>
  </si>
  <si>
    <t>Total Stock Value</t>
  </si>
  <si>
    <t>Count of ProductID</t>
  </si>
  <si>
    <t>Count of Reorder</t>
  </si>
  <si>
    <t>YES</t>
  </si>
  <si>
    <t>Grand Total</t>
  </si>
  <si>
    <t>Stock Report</t>
  </si>
  <si>
    <t xml:space="preserve">QuantityOnHand </t>
  </si>
  <si>
    <t>yes</t>
  </si>
  <si>
    <t>Cost</t>
  </si>
  <si>
    <t>Row Labels</t>
  </si>
  <si>
    <t>Sum of Quantity</t>
  </si>
  <si>
    <t>NO</t>
  </si>
  <si>
    <t>Count of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</si>
</sst>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rial Black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1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2" borderId="0" xfId="0" applyFill="1"/>
    <xf numFmtId="0" fontId="3" fillId="0" borderId="0" xfId="0" applyFont="1"/>
    <xf numFmtId="164" fontId="3" fillId="0" borderId="0" xfId="0" applyNumberFormat="1" applyFont="1"/>
    <xf numFmtId="1" fontId="3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0" fontId="5" fillId="2" borderId="0" xfId="0" applyFont="1" applyFill="1" applyAlignment="1">
      <alignment horizontal="center" vertical="center"/>
    </xf>
    <xf numFmtId="0" fontId="4" fillId="2" borderId="0" xfId="0" applyFont="1" applyFill="1"/>
    <xf numFmtId="164" fontId="4" fillId="2" borderId="0" xfId="0" applyNumberFormat="1" applyFont="1" applyFill="1"/>
    <xf numFmtId="15" fontId="4" fillId="0" borderId="0" xfId="0" applyNumberFormat="1" applyFont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1" xfId="0" applyFont="1" applyBorder="1"/>
    <xf numFmtId="15" fontId="4" fillId="0" borderId="2" xfId="0" applyNumberFormat="1" applyFont="1" applyBorder="1"/>
    <xf numFmtId="0" fontId="4" fillId="0" borderId="2" xfId="0" applyFont="1" applyBorder="1"/>
    <xf numFmtId="0" fontId="4" fillId="0" borderId="3" xfId="0" applyFont="1" applyBorder="1"/>
    <xf numFmtId="164" fontId="0" fillId="0" borderId="0" xfId="0" applyNumberFormat="1"/>
    <xf numFmtId="0" fontId="0" fillId="0" borderId="0" xfId="0" pivotButton="1"/>
    <xf numFmtId="0" fontId="7" fillId="0" borderId="0" xfId="0" pivotButton="1" applyFo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pivotButton="1" applyFont="1" applyAlignment="1">
      <alignment vertical="center"/>
    </xf>
    <xf numFmtId="0" fontId="7" fillId="0" borderId="0" xfId="0" applyFont="1" applyAlignment="1">
      <alignment vertical="center"/>
    </xf>
    <xf numFmtId="0" fontId="9" fillId="2" borderId="0" xfId="0" applyFont="1" applyFill="1"/>
    <xf numFmtId="0" fontId="8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15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7" fillId="0" borderId="0" xfId="0" applyNumberFormat="1" applyFont="1"/>
    <xf numFmtId="0" fontId="11" fillId="0" borderId="0" xfId="0" applyFont="1" applyAlignment="1">
      <alignment horizontal="left"/>
    </xf>
    <xf numFmtId="0" fontId="11" fillId="0" borderId="0" xfId="0" applyNumberFormat="1" applyFont="1"/>
    <xf numFmtId="10" fontId="0" fillId="0" borderId="0" xfId="0" applyNumberFormat="1"/>
    <xf numFmtId="9" fontId="0" fillId="0" borderId="0" xfId="0" applyNumberFormat="1"/>
  </cellXfs>
  <cellStyles count="2">
    <cellStyle name="Normal" xfId="0" builtinId="0"/>
    <cellStyle name="Normal 2" xfId="1" xr:uid="{0A571228-8AD2-4F81-8DCA-7E0A5E37DB8F}"/>
  </cellStyles>
  <dxfs count="71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7" formatCode="0.0%"/>
    </dxf>
    <dxf>
      <numFmt numFmtId="13" formatCode="0%"/>
    </dxf>
    <dxf>
      <numFmt numFmtId="14" formatCode="0.00%"/>
    </dxf>
    <dxf>
      <numFmt numFmtId="165" formatCode="0.000%"/>
    </dxf>
    <dxf>
      <numFmt numFmtId="166" formatCode="0.0000%"/>
    </dxf>
    <dxf>
      <numFmt numFmtId="165" formatCode="0.000%"/>
    </dxf>
    <dxf>
      <font>
        <color theme="1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FF7C8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FF7C8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0"/>
      </font>
      <fill>
        <patternFill>
          <bgColor rgb="FFFF7C8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20" formatCode="d\-mmm\-yy"/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&quot;$&quot;#,##0"/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&quot;$&quot;#,##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z val="14"/>
      </font>
    </dxf>
    <dxf>
      <font>
        <name val="Arial Black"/>
        <scheme val="none"/>
      </font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Dashboard.xlsx]calculations!PivotTable6 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  <a:latin typeface="Arial Black" panose="020B0A04020102020204" pitchFamily="34" charset="0"/>
              </a:rPr>
              <a:t>Re</a:t>
            </a:r>
            <a:r>
              <a:rPr lang="en-US" sz="2400" b="1" baseline="0">
                <a:solidFill>
                  <a:schemeClr val="tx1"/>
                </a:solidFill>
                <a:latin typeface="Arial Black" panose="020B0A04020102020204" pitchFamily="34" charset="0"/>
              </a:rPr>
              <a:t> - Order</a:t>
            </a:r>
            <a:endParaRPr lang="en-US" sz="2400" b="1">
              <a:solidFill>
                <a:schemeClr val="tx1"/>
              </a:solidFill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separator> - 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separator> - </c:separator>
          <c:extLst>
            <c:ext xmlns:c15="http://schemas.microsoft.com/office/drawing/2012/chart" uri="{CE6537A1-D6FC-4f65-9D91-7224C49458BB}">
              <c15:layout>
                <c:manualLayout>
                  <c:w val="0.33965560451861326"/>
                  <c:h val="0.26031148832919587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separator> - </c:separator>
          <c:extLst>
            <c:ext xmlns:c15="http://schemas.microsoft.com/office/drawing/2012/chart" uri="{CE6537A1-D6FC-4f65-9D91-7224C49458BB}">
              <c15:layout>
                <c:manualLayout>
                  <c:w val="0.3402480614525733"/>
                  <c:h val="0.26031148832919587"/>
                </c:manualLayout>
              </c15:layout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calculations!$J$14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separator> -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402480614525733"/>
                      <c:h val="0.260311488329195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1B2F-4C82-8FF7-89988D0CA5C4}"/>
                </c:ext>
              </c:extLst>
            </c:dLbl>
            <c:dLbl>
              <c:idx val="1"/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separator> -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965560451861326"/>
                      <c:h val="0.260311488329195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B2F-4C82-8FF7-89988D0CA5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 -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calculations!$I$15:$I$17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calculations!$J$15:$J$17</c:f>
              <c:numCache>
                <c:formatCode>0%</c:formatCode>
                <c:ptCount val="2"/>
                <c:pt idx="0">
                  <c:v>0.45</c:v>
                </c:pt>
                <c:pt idx="1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F-4C82-8FF7-89988D0CA5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4"/>
        <c:axId val="473816111"/>
        <c:axId val="473809391"/>
      </c:barChart>
      <c:catAx>
        <c:axId val="4738161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3809391"/>
        <c:crosses val="autoZero"/>
        <c:auto val="1"/>
        <c:lblAlgn val="ctr"/>
        <c:lblOffset val="100"/>
        <c:noMultiLvlLbl val="0"/>
      </c:catAx>
      <c:valAx>
        <c:axId val="473809391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47381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QuantityOnHand!A1"/><Relationship Id="rId2" Type="http://schemas.openxmlformats.org/officeDocument/2006/relationships/hyperlink" Target="#Products!A1"/><Relationship Id="rId1" Type="http://schemas.openxmlformats.org/officeDocument/2006/relationships/hyperlink" Target="#Sheet1!A1"/><Relationship Id="rId6" Type="http://schemas.openxmlformats.org/officeDocument/2006/relationships/chart" Target="../charts/chart1.xml"/><Relationship Id="rId5" Type="http://schemas.openxmlformats.org/officeDocument/2006/relationships/hyperlink" Target="#'Out Of Stock'!A1"/><Relationship Id="rId4" Type="http://schemas.openxmlformats.org/officeDocument/2006/relationships/hyperlink" Target="#Recieved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Recieved!A1"/><Relationship Id="rId2" Type="http://schemas.openxmlformats.org/officeDocument/2006/relationships/hyperlink" Target="#QuantityOnHand!A1"/><Relationship Id="rId1" Type="http://schemas.openxmlformats.org/officeDocument/2006/relationships/hyperlink" Target="#DashBoard!A1"/><Relationship Id="rId4" Type="http://schemas.openxmlformats.org/officeDocument/2006/relationships/hyperlink" Target="#'Out Of Stock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Recieved!A1"/><Relationship Id="rId2" Type="http://schemas.openxmlformats.org/officeDocument/2006/relationships/hyperlink" Target="#Products!A1"/><Relationship Id="rId1" Type="http://schemas.openxmlformats.org/officeDocument/2006/relationships/hyperlink" Target="#DashBoard!A1"/><Relationship Id="rId4" Type="http://schemas.openxmlformats.org/officeDocument/2006/relationships/hyperlink" Target="#'Out Of Stock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QuantityOnHand!A1"/><Relationship Id="rId2" Type="http://schemas.openxmlformats.org/officeDocument/2006/relationships/hyperlink" Target="#Products!A1"/><Relationship Id="rId1" Type="http://schemas.openxmlformats.org/officeDocument/2006/relationships/hyperlink" Target="#DashBoard!A1"/><Relationship Id="rId4" Type="http://schemas.openxmlformats.org/officeDocument/2006/relationships/hyperlink" Target="#'Out Of Stock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QuantityOnHand!A1"/><Relationship Id="rId2" Type="http://schemas.openxmlformats.org/officeDocument/2006/relationships/hyperlink" Target="#Products!A1"/><Relationship Id="rId1" Type="http://schemas.openxmlformats.org/officeDocument/2006/relationships/hyperlink" Target="#DashBoard!A1"/><Relationship Id="rId4" Type="http://schemas.openxmlformats.org/officeDocument/2006/relationships/hyperlink" Target="#Recieve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326571</xdr:colOff>
      <xdr:row>1</xdr:row>
      <xdr:rowOff>0</xdr:rowOff>
    </xdr:from>
    <xdr:to>
      <xdr:col>3</xdr:col>
      <xdr:colOff>598714</xdr:colOff>
      <xdr:row>36</xdr:row>
      <xdr:rowOff>154273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F3E54A-CCF7-A685-452D-FE1D07621707}"/>
            </a:ext>
          </a:extLst>
        </xdr:cNvPr>
        <xdr:cNvSpPr/>
      </xdr:nvSpPr>
      <xdr:spPr>
        <a:xfrm>
          <a:off x="326571" y="181429"/>
          <a:ext cx="1841500" cy="88900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18142</xdr:colOff>
      <xdr:row>1</xdr:row>
      <xdr:rowOff>0</xdr:rowOff>
    </xdr:from>
    <xdr:to>
      <xdr:col>14</xdr:col>
      <xdr:colOff>1505857</xdr:colOff>
      <xdr:row>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649915A-C78F-139E-4196-BA589F9FF84D}"/>
            </a:ext>
          </a:extLst>
        </xdr:cNvPr>
        <xdr:cNvSpPr/>
      </xdr:nvSpPr>
      <xdr:spPr>
        <a:xfrm>
          <a:off x="2431142" y="181429"/>
          <a:ext cx="12582072" cy="725714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165098</xdr:colOff>
      <xdr:row>11</xdr:row>
      <xdr:rowOff>205885</xdr:rowOff>
    </xdr:from>
    <xdr:to>
      <xdr:col>4</xdr:col>
      <xdr:colOff>3628</xdr:colOff>
      <xdr:row>14</xdr:row>
      <xdr:rowOff>67053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A05014-3506-FF74-C0A3-43A2617A3CA0}"/>
            </a:ext>
          </a:extLst>
        </xdr:cNvPr>
        <xdr:cNvSpPr txBox="1"/>
      </xdr:nvSpPr>
      <xdr:spPr>
        <a:xfrm>
          <a:off x="524011" y="2594037"/>
          <a:ext cx="1660704" cy="689429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DashBoard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14</xdr:row>
      <xdr:rowOff>85989</xdr:rowOff>
    </xdr:from>
    <xdr:to>
      <xdr:col>3</xdr:col>
      <xdr:colOff>593272</xdr:colOff>
      <xdr:row>17</xdr:row>
      <xdr:rowOff>41816</xdr:rowOff>
    </xdr:to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994C3D-FC9A-2D77-9F68-1FAEF874DCD3}"/>
            </a:ext>
          </a:extLst>
        </xdr:cNvPr>
        <xdr:cNvSpPr txBox="1"/>
      </xdr:nvSpPr>
      <xdr:spPr>
        <a:xfrm>
          <a:off x="505869" y="3302402"/>
          <a:ext cx="1661099" cy="8669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Products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17</xdr:row>
      <xdr:rowOff>60752</xdr:rowOff>
    </xdr:from>
    <xdr:to>
      <xdr:col>3</xdr:col>
      <xdr:colOff>593272</xdr:colOff>
      <xdr:row>21</xdr:row>
      <xdr:rowOff>59392</xdr:rowOff>
    </xdr:to>
    <xdr:sp macro="" textlink="">
      <xdr:nvSpPr>
        <xdr:cNvPr id="6" name="TextBox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10BD25-FD06-7E6A-F55B-CE22819D75B8}"/>
            </a:ext>
          </a:extLst>
        </xdr:cNvPr>
        <xdr:cNvSpPr txBox="1"/>
      </xdr:nvSpPr>
      <xdr:spPr>
        <a:xfrm>
          <a:off x="505869" y="4188252"/>
          <a:ext cx="1661099" cy="13238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QuantityOnHand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21</xdr:row>
      <xdr:rowOff>78328</xdr:rowOff>
    </xdr:from>
    <xdr:to>
      <xdr:col>3</xdr:col>
      <xdr:colOff>593272</xdr:colOff>
      <xdr:row>23</xdr:row>
      <xdr:rowOff>132757</xdr:rowOff>
    </xdr:to>
    <xdr:sp macro="" textlink="">
      <xdr:nvSpPr>
        <xdr:cNvPr id="7" name="TextBox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AF7B2B-1858-D49B-F791-C9ED8A91D607}"/>
            </a:ext>
          </a:extLst>
        </xdr:cNvPr>
        <xdr:cNvSpPr txBox="1"/>
      </xdr:nvSpPr>
      <xdr:spPr>
        <a:xfrm>
          <a:off x="505869" y="5531045"/>
          <a:ext cx="1661099" cy="7170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Received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23</xdr:row>
      <xdr:rowOff>151693</xdr:rowOff>
    </xdr:from>
    <xdr:to>
      <xdr:col>3</xdr:col>
      <xdr:colOff>593272</xdr:colOff>
      <xdr:row>25</xdr:row>
      <xdr:rowOff>204149</xdr:rowOff>
    </xdr:to>
    <xdr:sp macro="" textlink="">
      <xdr:nvSpPr>
        <xdr:cNvPr id="8" name="TextBox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C38DC3-BBD2-36FE-1B40-B1ED496A5408}"/>
            </a:ext>
          </a:extLst>
        </xdr:cNvPr>
        <xdr:cNvSpPr txBox="1"/>
      </xdr:nvSpPr>
      <xdr:spPr>
        <a:xfrm>
          <a:off x="505869" y="6267019"/>
          <a:ext cx="1661099" cy="7150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Out</a:t>
          </a:r>
          <a:r>
            <a:rPr lang="en-US" sz="1800" b="1" baseline="0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Of Stock</a:t>
          </a:r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5</xdr:col>
      <xdr:colOff>27215</xdr:colOff>
      <xdr:row>1</xdr:row>
      <xdr:rowOff>7256</xdr:rowOff>
    </xdr:from>
    <xdr:to>
      <xdr:col>14</xdr:col>
      <xdr:colOff>842066</xdr:colOff>
      <xdr:row>4</xdr:row>
      <xdr:rowOff>172357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DBEDFAF-77B5-3E89-BD00-0A1802BFC188}"/>
            </a:ext>
          </a:extLst>
        </xdr:cNvPr>
        <xdr:cNvSpPr txBox="1"/>
      </xdr:nvSpPr>
      <xdr:spPr>
        <a:xfrm>
          <a:off x="2442976" y="186713"/>
          <a:ext cx="17697568" cy="703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1"/>
          <a:r>
            <a:rPr lang="en-US" sz="2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Inventory</a:t>
          </a:r>
          <a:r>
            <a:rPr lang="en-US" sz="2800" b="1" baseline="0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Management System</a:t>
          </a:r>
          <a:endParaRPr lang="en-US" sz="2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endParaRPr lang="en-US" sz="2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5</xdr:col>
      <xdr:colOff>45357</xdr:colOff>
      <xdr:row>1</xdr:row>
      <xdr:rowOff>0</xdr:rowOff>
    </xdr:from>
    <xdr:to>
      <xdr:col>5</xdr:col>
      <xdr:colOff>45357</xdr:colOff>
      <xdr:row>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D88096A-F85A-5A9B-C38B-1B165C8EF84A}"/>
            </a:ext>
          </a:extLst>
        </xdr:cNvPr>
        <xdr:cNvCxnSpPr/>
      </xdr:nvCxnSpPr>
      <xdr:spPr>
        <a:xfrm>
          <a:off x="2458357" y="181429"/>
          <a:ext cx="0" cy="725714"/>
        </a:xfrm>
        <a:prstGeom prst="line">
          <a:avLst/>
        </a:prstGeom>
        <a:ln w="762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136071</xdr:colOff>
      <xdr:row>6</xdr:row>
      <xdr:rowOff>63495</xdr:rowOff>
    </xdr:from>
    <xdr:to>
      <xdr:col>6</xdr:col>
      <xdr:colOff>1397335</xdr:colOff>
      <xdr:row>11</xdr:row>
      <xdr:rowOff>161702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A35F6304-8D69-A642-CD7C-D7E2FB6E4B67}"/>
            </a:ext>
          </a:extLst>
        </xdr:cNvPr>
        <xdr:cNvGrpSpPr/>
      </xdr:nvGrpSpPr>
      <xdr:grpSpPr>
        <a:xfrm>
          <a:off x="2551832" y="1140234"/>
          <a:ext cx="2558873" cy="1409620"/>
          <a:chOff x="2440214" y="1124857"/>
          <a:chExt cx="2540000" cy="1297214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B19C79AA-6D27-A8B6-47F7-3F17DF9E5BD9}"/>
              </a:ext>
            </a:extLst>
          </xdr:cNvPr>
          <xdr:cNvSpPr/>
        </xdr:nvSpPr>
        <xdr:spPr>
          <a:xfrm>
            <a:off x="2440214" y="1124857"/>
            <a:ext cx="2540000" cy="1297214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92A3A110-BB80-E857-87A1-5C79F7D22306}"/>
              </a:ext>
            </a:extLst>
          </xdr:cNvPr>
          <xdr:cNvSpPr txBox="1"/>
        </xdr:nvSpPr>
        <xdr:spPr>
          <a:xfrm>
            <a:off x="2671536" y="1215573"/>
            <a:ext cx="2077356" cy="444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2000" b="1"/>
              <a:t>Total</a:t>
            </a:r>
            <a:r>
              <a:rPr lang="en-US" sz="2000" b="1" baseline="0"/>
              <a:t> Stock Value</a:t>
            </a:r>
            <a:endParaRPr lang="en-US" sz="2000" b="1"/>
          </a:p>
        </xdr:txBody>
      </xdr:sp>
      <xdr:sp macro="" textlink="calculations!B4">
        <xdr:nvSpPr>
          <xdr:cNvPr id="13" name="TextBox 12">
            <a:extLst>
              <a:ext uri="{FF2B5EF4-FFF2-40B4-BE49-F238E27FC236}">
                <a16:creationId xmlns:a16="http://schemas.microsoft.com/office/drawing/2014/main" id="{0A9ED0CF-ECB6-E292-1061-99EB20E6A51F}"/>
              </a:ext>
            </a:extLst>
          </xdr:cNvPr>
          <xdr:cNvSpPr txBox="1"/>
        </xdr:nvSpPr>
        <xdr:spPr>
          <a:xfrm>
            <a:off x="2645683" y="1594751"/>
            <a:ext cx="2129063" cy="7003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fld id="{F78C818E-B2C5-4239-B3F5-4A679BE26436}" type="TxLink">
              <a:rPr lang="en-US" sz="4800" b="1" i="0" u="none" strike="noStrike">
                <a:solidFill>
                  <a:srgbClr val="000000"/>
                </a:solidFill>
                <a:latin typeface="Aptos Narrow"/>
              </a:rPr>
              <a:pPr/>
              <a:t>$2,942</a:t>
            </a:fld>
            <a:endParaRPr lang="en-US" sz="8000" b="1"/>
          </a:p>
        </xdr:txBody>
      </xdr:sp>
    </xdr:grpSp>
    <xdr:clientData/>
  </xdr:twoCellAnchor>
  <xdr:twoCellAnchor editAs="absolute">
    <xdr:from>
      <xdr:col>8</xdr:col>
      <xdr:colOff>648842</xdr:colOff>
      <xdr:row>6</xdr:row>
      <xdr:rowOff>63495</xdr:rowOff>
    </xdr:from>
    <xdr:to>
      <xdr:col>10</xdr:col>
      <xdr:colOff>63903</xdr:colOff>
      <xdr:row>11</xdr:row>
      <xdr:rowOff>161702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3835A87B-063D-EB27-4C13-CDBE8BCACD49}"/>
            </a:ext>
          </a:extLst>
        </xdr:cNvPr>
        <xdr:cNvGrpSpPr/>
      </xdr:nvGrpSpPr>
      <xdr:grpSpPr>
        <a:xfrm>
          <a:off x="8351668" y="1140234"/>
          <a:ext cx="2562452" cy="1409620"/>
          <a:chOff x="8088086" y="1139372"/>
          <a:chExt cx="2540000" cy="1297214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54B702A0-6CB4-05FB-63B5-B820FEB28166}"/>
              </a:ext>
            </a:extLst>
          </xdr:cNvPr>
          <xdr:cNvSpPr/>
        </xdr:nvSpPr>
        <xdr:spPr>
          <a:xfrm>
            <a:off x="8088086" y="1139372"/>
            <a:ext cx="2540000" cy="1297214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A926AD69-1195-110E-24C6-928E1FF5AE6B}"/>
              </a:ext>
            </a:extLst>
          </xdr:cNvPr>
          <xdr:cNvSpPr txBox="1"/>
        </xdr:nvSpPr>
        <xdr:spPr>
          <a:xfrm>
            <a:off x="8750755" y="1230088"/>
            <a:ext cx="1214663" cy="444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2000" b="1"/>
              <a:t>Re-Order</a:t>
            </a:r>
          </a:p>
        </xdr:txBody>
      </xdr:sp>
      <xdr:sp macro="" textlink="calculations!B14">
        <xdr:nvSpPr>
          <xdr:cNvPr id="19" name="TextBox 18">
            <a:extLst>
              <a:ext uri="{FF2B5EF4-FFF2-40B4-BE49-F238E27FC236}">
                <a16:creationId xmlns:a16="http://schemas.microsoft.com/office/drawing/2014/main" id="{C4420526-DCA9-A078-86D4-64613C1F6A34}"/>
              </a:ext>
            </a:extLst>
          </xdr:cNvPr>
          <xdr:cNvSpPr txBox="1"/>
        </xdr:nvSpPr>
        <xdr:spPr>
          <a:xfrm>
            <a:off x="8887507" y="1609266"/>
            <a:ext cx="941159" cy="7003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/>
            <a:fld id="{0D73D259-B48D-4B77-BD42-FE6E179C2560}" type="TxLink">
              <a:rPr lang="en-US" sz="4800" b="1" i="0" u="none" strike="noStrike">
                <a:solidFill>
                  <a:srgbClr val="000000"/>
                </a:solidFill>
                <a:latin typeface="Aptos Narrow"/>
                <a:ea typeface="+mn-ea"/>
                <a:cs typeface="+mn-cs"/>
              </a:rPr>
              <a:pPr marL="0" indent="0"/>
              <a:t>11</a:t>
            </a:fld>
            <a:endParaRPr lang="en-US" sz="48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6</xdr:col>
      <xdr:colOff>1731164</xdr:colOff>
      <xdr:row>6</xdr:row>
      <xdr:rowOff>63495</xdr:rowOff>
    </xdr:from>
    <xdr:to>
      <xdr:col>8</xdr:col>
      <xdr:colOff>315014</xdr:colOff>
      <xdr:row>11</xdr:row>
      <xdr:rowOff>161702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A26BDE82-94AF-00DD-E244-369D9CFB1BC5}"/>
            </a:ext>
          </a:extLst>
        </xdr:cNvPr>
        <xdr:cNvGrpSpPr/>
      </xdr:nvGrpSpPr>
      <xdr:grpSpPr>
        <a:xfrm>
          <a:off x="5444534" y="1140234"/>
          <a:ext cx="2573306" cy="1409620"/>
          <a:chOff x="5237842" y="1191986"/>
          <a:chExt cx="2540000" cy="1297214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D021B3F-765E-CAED-FBA8-A732E05965A2}"/>
              </a:ext>
            </a:extLst>
          </xdr:cNvPr>
          <xdr:cNvSpPr/>
        </xdr:nvSpPr>
        <xdr:spPr>
          <a:xfrm>
            <a:off x="5237842" y="1191986"/>
            <a:ext cx="2540000" cy="1297214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53304314-E3D6-A2DF-153F-FC458680FBF0}"/>
              </a:ext>
            </a:extLst>
          </xdr:cNvPr>
          <xdr:cNvSpPr txBox="1"/>
        </xdr:nvSpPr>
        <xdr:spPr>
          <a:xfrm>
            <a:off x="5469164" y="1282702"/>
            <a:ext cx="2077356" cy="444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2000" b="1"/>
              <a:t>Unique</a:t>
            </a:r>
            <a:r>
              <a:rPr lang="en-US" sz="2000" b="1" baseline="0"/>
              <a:t> Products</a:t>
            </a:r>
            <a:endParaRPr lang="en-US" sz="2000" b="1"/>
          </a:p>
        </xdr:txBody>
      </xdr:sp>
      <xdr:sp macro="" textlink="calculations!B8">
        <xdr:nvSpPr>
          <xdr:cNvPr id="22" name="TextBox 21">
            <a:extLst>
              <a:ext uri="{FF2B5EF4-FFF2-40B4-BE49-F238E27FC236}">
                <a16:creationId xmlns:a16="http://schemas.microsoft.com/office/drawing/2014/main" id="{53F09FA8-F5F7-3CA2-D7A4-DCAAF47E64E5}"/>
              </a:ext>
            </a:extLst>
          </xdr:cNvPr>
          <xdr:cNvSpPr txBox="1"/>
        </xdr:nvSpPr>
        <xdr:spPr>
          <a:xfrm>
            <a:off x="6027284" y="1661880"/>
            <a:ext cx="961117" cy="7003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/>
            <a:fld id="{398AB1F0-C54F-4691-8D73-956D485DCBA0}" type="TxLink">
              <a:rPr lang="en-US" sz="4800" b="1" i="0" u="none" strike="noStrike">
                <a:solidFill>
                  <a:srgbClr val="000000"/>
                </a:solidFill>
                <a:latin typeface="Aptos Narrow"/>
                <a:ea typeface="+mn-ea"/>
                <a:cs typeface="+mn-cs"/>
              </a:rPr>
              <a:pPr marL="0" indent="0"/>
              <a:t>20</a:t>
            </a:fld>
            <a:endParaRPr lang="en-US" sz="48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5</xdr:col>
      <xdr:colOff>55218</xdr:colOff>
      <xdr:row>12</xdr:row>
      <xdr:rowOff>69022</xdr:rowOff>
    </xdr:from>
    <xdr:to>
      <xdr:col>10</xdr:col>
      <xdr:colOff>110436</xdr:colOff>
      <xdr:row>15</xdr:row>
      <xdr:rowOff>82825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2DDA351-6CB2-0AC8-B368-0BE9401A2AC1}"/>
            </a:ext>
          </a:extLst>
        </xdr:cNvPr>
        <xdr:cNvSpPr txBox="1"/>
      </xdr:nvSpPr>
      <xdr:spPr>
        <a:xfrm>
          <a:off x="2470979" y="2733261"/>
          <a:ext cx="8489674" cy="8420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4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Stocks -</a:t>
          </a:r>
          <a:r>
            <a:rPr lang="en-US" sz="2000" baseline="0"/>
            <a:t>  </a:t>
          </a:r>
          <a:r>
            <a:rPr lang="en-US" sz="4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To -</a:t>
          </a:r>
          <a:r>
            <a:rPr lang="en-US" sz="2000" baseline="0"/>
            <a:t> </a:t>
          </a:r>
          <a:r>
            <a:rPr lang="en-US" sz="4800" b="1" baseline="0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Order</a:t>
          </a:r>
        </a:p>
      </xdr:txBody>
    </xdr:sp>
    <xdr:clientData/>
  </xdr:twoCellAnchor>
  <xdr:twoCellAnchor editAs="absolute">
    <xdr:from>
      <xdr:col>10</xdr:col>
      <xdr:colOff>318090</xdr:colOff>
      <xdr:row>6</xdr:row>
      <xdr:rowOff>55219</xdr:rowOff>
    </xdr:from>
    <xdr:to>
      <xdr:col>11</xdr:col>
      <xdr:colOff>3078369</xdr:colOff>
      <xdr:row>15</xdr:row>
      <xdr:rowOff>96630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9B1810E-C639-7161-BE1E-484D4549110C}"/>
            </a:ext>
          </a:extLst>
        </xdr:cNvPr>
        <xdr:cNvSpPr/>
      </xdr:nvSpPr>
      <xdr:spPr>
        <a:xfrm>
          <a:off x="11168307" y="1131958"/>
          <a:ext cx="4513432" cy="245717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303696</xdr:colOff>
      <xdr:row>5</xdr:row>
      <xdr:rowOff>179455</xdr:rowOff>
    </xdr:from>
    <xdr:to>
      <xdr:col>11</xdr:col>
      <xdr:colOff>3067327</xdr:colOff>
      <xdr:row>15</xdr:row>
      <xdr:rowOff>207065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3C9FF81-75ED-4750-BFAA-11138771A0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326571</xdr:colOff>
      <xdr:row>1</xdr:row>
      <xdr:rowOff>0</xdr:rowOff>
    </xdr:from>
    <xdr:to>
      <xdr:col>3</xdr:col>
      <xdr:colOff>598714</xdr:colOff>
      <xdr:row>50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A538489-D976-43DF-AFF8-7B477134093E}"/>
            </a:ext>
          </a:extLst>
        </xdr:cNvPr>
        <xdr:cNvSpPr/>
      </xdr:nvSpPr>
      <xdr:spPr>
        <a:xfrm>
          <a:off x="326571" y="179917"/>
          <a:ext cx="1859643" cy="1024466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18142</xdr:colOff>
      <xdr:row>1</xdr:row>
      <xdr:rowOff>0</xdr:rowOff>
    </xdr:from>
    <xdr:to>
      <xdr:col>25</xdr:col>
      <xdr:colOff>607785</xdr:colOff>
      <xdr:row>5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6C3635E-A6C3-4A2E-A180-E14F24A642B0}"/>
            </a:ext>
          </a:extLst>
        </xdr:cNvPr>
        <xdr:cNvSpPr/>
      </xdr:nvSpPr>
      <xdr:spPr>
        <a:xfrm>
          <a:off x="2437492" y="184150"/>
          <a:ext cx="12781643" cy="7366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146956</xdr:colOff>
      <xdr:row>8</xdr:row>
      <xdr:rowOff>7561</xdr:rowOff>
    </xdr:from>
    <xdr:to>
      <xdr:col>3</xdr:col>
      <xdr:colOff>593272</xdr:colOff>
      <xdr:row>10</xdr:row>
      <xdr:rowOff>61990</xdr:rowOff>
    </xdr:to>
    <xdr:sp macro="" textlink="">
      <xdr:nvSpPr>
        <xdr:cNvPr id="13" name="TextBox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0FF3F4-9ABB-42AB-8692-4B4E774CFF37}"/>
            </a:ext>
          </a:extLst>
        </xdr:cNvPr>
        <xdr:cNvSpPr txBox="1"/>
      </xdr:nvSpPr>
      <xdr:spPr>
        <a:xfrm>
          <a:off x="506789" y="1817311"/>
          <a:ext cx="1673983" cy="5200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DashBoard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157539</xdr:colOff>
      <xdr:row>10</xdr:row>
      <xdr:rowOff>103869</xdr:rowOff>
    </xdr:from>
    <xdr:to>
      <xdr:col>3</xdr:col>
      <xdr:colOff>603855</xdr:colOff>
      <xdr:row>12</xdr:row>
      <xdr:rowOff>158299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87CB069-6DF5-450E-8378-5CA5EE61D633}"/>
            </a:ext>
          </a:extLst>
        </xdr:cNvPr>
        <xdr:cNvSpPr txBox="1"/>
      </xdr:nvSpPr>
      <xdr:spPr>
        <a:xfrm>
          <a:off x="517372" y="2379286"/>
          <a:ext cx="1673983" cy="520096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Products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152853</xdr:colOff>
      <xdr:row>12</xdr:row>
      <xdr:rowOff>200178</xdr:rowOff>
    </xdr:from>
    <xdr:to>
      <xdr:col>3</xdr:col>
      <xdr:colOff>587375</xdr:colOff>
      <xdr:row>16</xdr:row>
      <xdr:rowOff>107044</xdr:rowOff>
    </xdr:to>
    <xdr:sp macro="" textlink="">
      <xdr:nvSpPr>
        <xdr:cNvPr id="15" name="TextBox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FED22E-40F4-4240-95A8-D1100FFED38F}"/>
            </a:ext>
          </a:extLst>
        </xdr:cNvPr>
        <xdr:cNvSpPr txBox="1"/>
      </xdr:nvSpPr>
      <xdr:spPr>
        <a:xfrm>
          <a:off x="512686" y="2941261"/>
          <a:ext cx="1662189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QuantityOnHand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16</xdr:row>
      <xdr:rowOff>148924</xdr:rowOff>
    </xdr:from>
    <xdr:to>
      <xdr:col>3</xdr:col>
      <xdr:colOff>593272</xdr:colOff>
      <xdr:row>19</xdr:row>
      <xdr:rowOff>21924</xdr:rowOff>
    </xdr:to>
    <xdr:sp macro="" textlink="">
      <xdr:nvSpPr>
        <xdr:cNvPr id="16" name="TextBox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A8B73A7-D63D-46E5-863D-580151403046}"/>
            </a:ext>
          </a:extLst>
        </xdr:cNvPr>
        <xdr:cNvSpPr txBox="1"/>
      </xdr:nvSpPr>
      <xdr:spPr>
        <a:xfrm>
          <a:off x="506789" y="3821341"/>
          <a:ext cx="1673983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Received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19</xdr:row>
      <xdr:rowOff>63804</xdr:rowOff>
    </xdr:from>
    <xdr:to>
      <xdr:col>3</xdr:col>
      <xdr:colOff>593272</xdr:colOff>
      <xdr:row>21</xdr:row>
      <xdr:rowOff>116721</xdr:rowOff>
    </xdr:to>
    <xdr:sp macro="" textlink="">
      <xdr:nvSpPr>
        <xdr:cNvPr id="17" name="TextBox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20E85F1-1535-4D13-8F4C-1F43D72FEF03}"/>
            </a:ext>
          </a:extLst>
        </xdr:cNvPr>
        <xdr:cNvSpPr txBox="1"/>
      </xdr:nvSpPr>
      <xdr:spPr>
        <a:xfrm>
          <a:off x="506789" y="4434721"/>
          <a:ext cx="1673983" cy="518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Out</a:t>
          </a:r>
          <a:r>
            <a:rPr lang="en-US" sz="1800" b="1" baseline="0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Of Stock</a:t>
          </a:r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5</xdr:col>
      <xdr:colOff>27214</xdr:colOff>
      <xdr:row>1</xdr:row>
      <xdr:rowOff>7256</xdr:rowOff>
    </xdr:from>
    <xdr:to>
      <xdr:col>23</xdr:col>
      <xdr:colOff>453571</xdr:colOff>
      <xdr:row>4</xdr:row>
      <xdr:rowOff>172357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96AF77D-3B4C-4873-902D-8816DBC4AB64}"/>
            </a:ext>
          </a:extLst>
        </xdr:cNvPr>
        <xdr:cNvSpPr txBox="1"/>
      </xdr:nvSpPr>
      <xdr:spPr>
        <a:xfrm>
          <a:off x="2446564" y="191406"/>
          <a:ext cx="11399157" cy="717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1"/>
          <a:r>
            <a:rPr lang="en-US" sz="36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Products</a:t>
          </a:r>
          <a:endParaRPr lang="en-US" sz="2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5</xdr:col>
      <xdr:colOff>45357</xdr:colOff>
      <xdr:row>1</xdr:row>
      <xdr:rowOff>0</xdr:rowOff>
    </xdr:from>
    <xdr:to>
      <xdr:col>5</xdr:col>
      <xdr:colOff>45357</xdr:colOff>
      <xdr:row>5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B569218-F754-4521-AAEA-405BCB05E717}"/>
            </a:ext>
          </a:extLst>
        </xdr:cNvPr>
        <xdr:cNvCxnSpPr/>
      </xdr:nvCxnSpPr>
      <xdr:spPr>
        <a:xfrm>
          <a:off x="2464707" y="184150"/>
          <a:ext cx="0" cy="736600"/>
        </a:xfrm>
        <a:prstGeom prst="line">
          <a:avLst/>
        </a:prstGeom>
        <a:ln w="762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326571</xdr:colOff>
      <xdr:row>1</xdr:row>
      <xdr:rowOff>0</xdr:rowOff>
    </xdr:from>
    <xdr:to>
      <xdr:col>3</xdr:col>
      <xdr:colOff>598714</xdr:colOff>
      <xdr:row>50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0A5495A-3753-4131-A407-282187AA8459}"/>
            </a:ext>
          </a:extLst>
        </xdr:cNvPr>
        <xdr:cNvSpPr/>
      </xdr:nvSpPr>
      <xdr:spPr>
        <a:xfrm>
          <a:off x="326571" y="184150"/>
          <a:ext cx="1846943" cy="1040765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18142</xdr:colOff>
      <xdr:row>1</xdr:row>
      <xdr:rowOff>0</xdr:rowOff>
    </xdr:from>
    <xdr:to>
      <xdr:col>25</xdr:col>
      <xdr:colOff>607785</xdr:colOff>
      <xdr:row>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2CBBA30-A94E-437F-BD66-069227E903C2}"/>
            </a:ext>
          </a:extLst>
        </xdr:cNvPr>
        <xdr:cNvSpPr/>
      </xdr:nvSpPr>
      <xdr:spPr>
        <a:xfrm>
          <a:off x="2437492" y="184150"/>
          <a:ext cx="19290393" cy="7366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146956</xdr:colOff>
      <xdr:row>8</xdr:row>
      <xdr:rowOff>7561</xdr:rowOff>
    </xdr:from>
    <xdr:to>
      <xdr:col>3</xdr:col>
      <xdr:colOff>593272</xdr:colOff>
      <xdr:row>10</xdr:row>
      <xdr:rowOff>61990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E92415-ACA5-404D-BC91-F83215013264}"/>
            </a:ext>
          </a:extLst>
        </xdr:cNvPr>
        <xdr:cNvSpPr txBox="1"/>
      </xdr:nvSpPr>
      <xdr:spPr>
        <a:xfrm>
          <a:off x="502556" y="1849061"/>
          <a:ext cx="1665516" cy="5243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DashBoard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10</xdr:row>
      <xdr:rowOff>209098</xdr:rowOff>
    </xdr:from>
    <xdr:to>
      <xdr:col>3</xdr:col>
      <xdr:colOff>593272</xdr:colOff>
      <xdr:row>13</xdr:row>
      <xdr:rowOff>30694</xdr:rowOff>
    </xdr:to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BB293D-AC41-4D4F-B728-90B5F8E6BB84}"/>
            </a:ext>
          </a:extLst>
        </xdr:cNvPr>
        <xdr:cNvSpPr txBox="1"/>
      </xdr:nvSpPr>
      <xdr:spPr>
        <a:xfrm>
          <a:off x="502556" y="2520498"/>
          <a:ext cx="1665516" cy="5264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Products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13</xdr:row>
      <xdr:rowOff>177800</xdr:rowOff>
    </xdr:from>
    <xdr:to>
      <xdr:col>3</xdr:col>
      <xdr:colOff>593272</xdr:colOff>
      <xdr:row>16</xdr:row>
      <xdr:rowOff>139700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80CEF62-7824-4A46-AD2D-331FE60C416B}"/>
            </a:ext>
          </a:extLst>
        </xdr:cNvPr>
        <xdr:cNvSpPr txBox="1"/>
      </xdr:nvSpPr>
      <xdr:spPr>
        <a:xfrm>
          <a:off x="502556" y="3403600"/>
          <a:ext cx="1665516" cy="7620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QuantityOnHand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17</xdr:row>
      <xdr:rowOff>6200</xdr:rowOff>
    </xdr:from>
    <xdr:to>
      <xdr:col>3</xdr:col>
      <xdr:colOff>593272</xdr:colOff>
      <xdr:row>19</xdr:row>
      <xdr:rowOff>112034</xdr:rowOff>
    </xdr:to>
    <xdr:sp macro="" textlink="">
      <xdr:nvSpPr>
        <xdr:cNvPr id="7" name="TextBox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689929-A791-4653-B4E6-A08BB07DD797}"/>
            </a:ext>
          </a:extLst>
        </xdr:cNvPr>
        <xdr:cNvSpPr txBox="1"/>
      </xdr:nvSpPr>
      <xdr:spPr>
        <a:xfrm>
          <a:off x="502556" y="4298800"/>
          <a:ext cx="1665516" cy="6392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Received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19</xdr:row>
      <xdr:rowOff>228904</xdr:rowOff>
    </xdr:from>
    <xdr:to>
      <xdr:col>3</xdr:col>
      <xdr:colOff>593272</xdr:colOff>
      <xdr:row>22</xdr:row>
      <xdr:rowOff>15121</xdr:rowOff>
    </xdr:to>
    <xdr:sp macro="" textlink="">
      <xdr:nvSpPr>
        <xdr:cNvPr id="8" name="TextBox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36EDE67-9DB4-4E59-B7E5-FA3FD704623D}"/>
            </a:ext>
          </a:extLst>
        </xdr:cNvPr>
        <xdr:cNvSpPr txBox="1"/>
      </xdr:nvSpPr>
      <xdr:spPr>
        <a:xfrm>
          <a:off x="502556" y="5054904"/>
          <a:ext cx="1665516" cy="5863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Out</a:t>
          </a:r>
          <a:r>
            <a:rPr lang="en-US" sz="1800" b="1" baseline="0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Of Stock</a:t>
          </a:r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5</xdr:col>
      <xdr:colOff>27214</xdr:colOff>
      <xdr:row>1</xdr:row>
      <xdr:rowOff>7256</xdr:rowOff>
    </xdr:from>
    <xdr:to>
      <xdr:col>23</xdr:col>
      <xdr:colOff>453571</xdr:colOff>
      <xdr:row>4</xdr:row>
      <xdr:rowOff>172357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33B5419-0732-4874-8BD9-8CFF1918C9A8}"/>
            </a:ext>
          </a:extLst>
        </xdr:cNvPr>
        <xdr:cNvSpPr txBox="1"/>
      </xdr:nvSpPr>
      <xdr:spPr>
        <a:xfrm>
          <a:off x="2446564" y="191406"/>
          <a:ext cx="17907907" cy="717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1"/>
          <a:r>
            <a:rPr lang="en-US" sz="2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QuantityOnHand</a:t>
          </a:r>
        </a:p>
      </xdr:txBody>
    </xdr:sp>
    <xdr:clientData/>
  </xdr:twoCellAnchor>
  <xdr:twoCellAnchor>
    <xdr:from>
      <xdr:col>5</xdr:col>
      <xdr:colOff>45357</xdr:colOff>
      <xdr:row>1</xdr:row>
      <xdr:rowOff>0</xdr:rowOff>
    </xdr:from>
    <xdr:to>
      <xdr:col>5</xdr:col>
      <xdr:colOff>45357</xdr:colOff>
      <xdr:row>5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24FD62F-DADC-45AE-AFA8-58F12BABAC55}"/>
            </a:ext>
          </a:extLst>
        </xdr:cNvPr>
        <xdr:cNvCxnSpPr/>
      </xdr:nvCxnSpPr>
      <xdr:spPr>
        <a:xfrm>
          <a:off x="2464707" y="184150"/>
          <a:ext cx="0" cy="736600"/>
        </a:xfrm>
        <a:prstGeom prst="line">
          <a:avLst/>
        </a:prstGeom>
        <a:ln w="762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326571</xdr:colOff>
      <xdr:row>1</xdr:row>
      <xdr:rowOff>0</xdr:rowOff>
    </xdr:from>
    <xdr:to>
      <xdr:col>3</xdr:col>
      <xdr:colOff>598714</xdr:colOff>
      <xdr:row>50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30ACF8-973C-490A-9C7A-485389A885F3}"/>
            </a:ext>
          </a:extLst>
        </xdr:cNvPr>
        <xdr:cNvSpPr/>
      </xdr:nvSpPr>
      <xdr:spPr>
        <a:xfrm>
          <a:off x="326571" y="184150"/>
          <a:ext cx="1846943" cy="1186815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18142</xdr:colOff>
      <xdr:row>1</xdr:row>
      <xdr:rowOff>0</xdr:rowOff>
    </xdr:from>
    <xdr:to>
      <xdr:col>25</xdr:col>
      <xdr:colOff>607785</xdr:colOff>
      <xdr:row>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A021156-D476-443E-B466-411DDA94B4FE}"/>
            </a:ext>
          </a:extLst>
        </xdr:cNvPr>
        <xdr:cNvSpPr/>
      </xdr:nvSpPr>
      <xdr:spPr>
        <a:xfrm>
          <a:off x="2437492" y="184150"/>
          <a:ext cx="20935043" cy="7366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146956</xdr:colOff>
      <xdr:row>8</xdr:row>
      <xdr:rowOff>7561</xdr:rowOff>
    </xdr:from>
    <xdr:to>
      <xdr:col>3</xdr:col>
      <xdr:colOff>593272</xdr:colOff>
      <xdr:row>10</xdr:row>
      <xdr:rowOff>61990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F9E421-38F0-416C-AA9A-0126F852FD36}"/>
            </a:ext>
          </a:extLst>
        </xdr:cNvPr>
        <xdr:cNvSpPr txBox="1"/>
      </xdr:nvSpPr>
      <xdr:spPr>
        <a:xfrm>
          <a:off x="502556" y="1849061"/>
          <a:ext cx="1665516" cy="5878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DashBoard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10</xdr:row>
      <xdr:rowOff>209098</xdr:rowOff>
    </xdr:from>
    <xdr:to>
      <xdr:col>3</xdr:col>
      <xdr:colOff>593272</xdr:colOff>
      <xdr:row>13</xdr:row>
      <xdr:rowOff>30694</xdr:rowOff>
    </xdr:to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B0A842-D6CD-44E2-B167-FD404D80078C}"/>
            </a:ext>
          </a:extLst>
        </xdr:cNvPr>
        <xdr:cNvSpPr txBox="1"/>
      </xdr:nvSpPr>
      <xdr:spPr>
        <a:xfrm>
          <a:off x="502556" y="2583998"/>
          <a:ext cx="1665516" cy="6216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Products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13</xdr:row>
      <xdr:rowOff>177800</xdr:rowOff>
    </xdr:from>
    <xdr:to>
      <xdr:col>3</xdr:col>
      <xdr:colOff>593272</xdr:colOff>
      <xdr:row>16</xdr:row>
      <xdr:rowOff>139700</xdr:rowOff>
    </xdr:to>
    <xdr:sp macro="" textlink="">
      <xdr:nvSpPr>
        <xdr:cNvPr id="6" name="TextBox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9119966-F28E-46DC-970D-5B25EC5836E9}"/>
            </a:ext>
          </a:extLst>
        </xdr:cNvPr>
        <xdr:cNvSpPr txBox="1"/>
      </xdr:nvSpPr>
      <xdr:spPr>
        <a:xfrm>
          <a:off x="502556" y="3352800"/>
          <a:ext cx="1665516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QuantityOnHand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17</xdr:row>
      <xdr:rowOff>6200</xdr:rowOff>
    </xdr:from>
    <xdr:to>
      <xdr:col>3</xdr:col>
      <xdr:colOff>593272</xdr:colOff>
      <xdr:row>19</xdr:row>
      <xdr:rowOff>112034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7514869-271F-4878-B01D-9CEFFAED1684}"/>
            </a:ext>
          </a:extLst>
        </xdr:cNvPr>
        <xdr:cNvSpPr txBox="1"/>
      </xdr:nvSpPr>
      <xdr:spPr>
        <a:xfrm>
          <a:off x="502556" y="4248000"/>
          <a:ext cx="1665516" cy="639234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Received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19</xdr:row>
      <xdr:rowOff>228904</xdr:rowOff>
    </xdr:from>
    <xdr:to>
      <xdr:col>3</xdr:col>
      <xdr:colOff>593272</xdr:colOff>
      <xdr:row>22</xdr:row>
      <xdr:rowOff>15121</xdr:rowOff>
    </xdr:to>
    <xdr:sp macro="" textlink="">
      <xdr:nvSpPr>
        <xdr:cNvPr id="8" name="TextBox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F6FA75A-17B0-4873-8039-18AC0D6A09FA}"/>
            </a:ext>
          </a:extLst>
        </xdr:cNvPr>
        <xdr:cNvSpPr txBox="1"/>
      </xdr:nvSpPr>
      <xdr:spPr>
        <a:xfrm>
          <a:off x="502556" y="5004104"/>
          <a:ext cx="1665516" cy="5863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Out</a:t>
          </a:r>
          <a:r>
            <a:rPr lang="en-US" sz="1800" b="1" baseline="0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Of Stock</a:t>
          </a:r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5</xdr:col>
      <xdr:colOff>27214</xdr:colOff>
      <xdr:row>1</xdr:row>
      <xdr:rowOff>7256</xdr:rowOff>
    </xdr:from>
    <xdr:to>
      <xdr:col>23</xdr:col>
      <xdr:colOff>453571</xdr:colOff>
      <xdr:row>4</xdr:row>
      <xdr:rowOff>172357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914BDE-6932-4EBC-9D19-73242605EC62}"/>
            </a:ext>
          </a:extLst>
        </xdr:cNvPr>
        <xdr:cNvSpPr txBox="1"/>
      </xdr:nvSpPr>
      <xdr:spPr>
        <a:xfrm>
          <a:off x="2446564" y="191406"/>
          <a:ext cx="19552557" cy="717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1" algn="l"/>
          <a:r>
            <a:rPr lang="en-US" sz="36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Received</a:t>
          </a:r>
          <a:endParaRPr lang="en-US" sz="2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5</xdr:col>
      <xdr:colOff>45357</xdr:colOff>
      <xdr:row>1</xdr:row>
      <xdr:rowOff>0</xdr:rowOff>
    </xdr:from>
    <xdr:to>
      <xdr:col>5</xdr:col>
      <xdr:colOff>45357</xdr:colOff>
      <xdr:row>5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6E09093-1B63-4E44-A4CF-9EE73A8955B3}"/>
            </a:ext>
          </a:extLst>
        </xdr:cNvPr>
        <xdr:cNvCxnSpPr/>
      </xdr:nvCxnSpPr>
      <xdr:spPr>
        <a:xfrm>
          <a:off x="2464707" y="184150"/>
          <a:ext cx="0" cy="736600"/>
        </a:xfrm>
        <a:prstGeom prst="line">
          <a:avLst/>
        </a:prstGeom>
        <a:ln w="762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326571</xdr:colOff>
      <xdr:row>1</xdr:row>
      <xdr:rowOff>0</xdr:rowOff>
    </xdr:from>
    <xdr:to>
      <xdr:col>3</xdr:col>
      <xdr:colOff>598714</xdr:colOff>
      <xdr:row>50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72ED88A-65A1-439F-8498-737C9A3D8E9E}"/>
            </a:ext>
          </a:extLst>
        </xdr:cNvPr>
        <xdr:cNvSpPr/>
      </xdr:nvSpPr>
      <xdr:spPr>
        <a:xfrm>
          <a:off x="326571" y="184150"/>
          <a:ext cx="1846943" cy="1104265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18142</xdr:colOff>
      <xdr:row>1</xdr:row>
      <xdr:rowOff>0</xdr:rowOff>
    </xdr:from>
    <xdr:to>
      <xdr:col>25</xdr:col>
      <xdr:colOff>607785</xdr:colOff>
      <xdr:row>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3496675-7BA1-492A-8A3C-7E8746F5F1BB}"/>
            </a:ext>
          </a:extLst>
        </xdr:cNvPr>
        <xdr:cNvSpPr/>
      </xdr:nvSpPr>
      <xdr:spPr>
        <a:xfrm>
          <a:off x="2437492" y="184150"/>
          <a:ext cx="19753943" cy="736600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146956</xdr:colOff>
      <xdr:row>8</xdr:row>
      <xdr:rowOff>7561</xdr:rowOff>
    </xdr:from>
    <xdr:to>
      <xdr:col>3</xdr:col>
      <xdr:colOff>593272</xdr:colOff>
      <xdr:row>10</xdr:row>
      <xdr:rowOff>61990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730D55-2952-4969-A906-1FEEDF769842}"/>
            </a:ext>
          </a:extLst>
        </xdr:cNvPr>
        <xdr:cNvSpPr txBox="1"/>
      </xdr:nvSpPr>
      <xdr:spPr>
        <a:xfrm>
          <a:off x="502556" y="1849061"/>
          <a:ext cx="1665516" cy="5878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DashBoard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10</xdr:row>
      <xdr:rowOff>209098</xdr:rowOff>
    </xdr:from>
    <xdr:to>
      <xdr:col>3</xdr:col>
      <xdr:colOff>593272</xdr:colOff>
      <xdr:row>13</xdr:row>
      <xdr:rowOff>30694</xdr:rowOff>
    </xdr:to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0D8DC8-CE38-4C1A-ADF5-1976A373C3C7}"/>
            </a:ext>
          </a:extLst>
        </xdr:cNvPr>
        <xdr:cNvSpPr txBox="1"/>
      </xdr:nvSpPr>
      <xdr:spPr>
        <a:xfrm>
          <a:off x="502556" y="2583998"/>
          <a:ext cx="1665516" cy="6216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Products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13</xdr:row>
      <xdr:rowOff>177800</xdr:rowOff>
    </xdr:from>
    <xdr:to>
      <xdr:col>3</xdr:col>
      <xdr:colOff>593272</xdr:colOff>
      <xdr:row>16</xdr:row>
      <xdr:rowOff>139700</xdr:rowOff>
    </xdr:to>
    <xdr:sp macro="" textlink="">
      <xdr:nvSpPr>
        <xdr:cNvPr id="6" name="TextBox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C8A5EC-86A4-4A1D-BC63-5DA299D71E9F}"/>
            </a:ext>
          </a:extLst>
        </xdr:cNvPr>
        <xdr:cNvSpPr txBox="1"/>
      </xdr:nvSpPr>
      <xdr:spPr>
        <a:xfrm>
          <a:off x="502556" y="3352800"/>
          <a:ext cx="1665516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QuantityOnHand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146956</xdr:colOff>
      <xdr:row>17</xdr:row>
      <xdr:rowOff>6200</xdr:rowOff>
    </xdr:from>
    <xdr:to>
      <xdr:col>3</xdr:col>
      <xdr:colOff>593272</xdr:colOff>
      <xdr:row>19</xdr:row>
      <xdr:rowOff>112034</xdr:rowOff>
    </xdr:to>
    <xdr:sp macro="" textlink="">
      <xdr:nvSpPr>
        <xdr:cNvPr id="7" name="TextBox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1600FDE-D0AA-4FF0-802E-85AA03968B9C}"/>
            </a:ext>
          </a:extLst>
        </xdr:cNvPr>
        <xdr:cNvSpPr txBox="1"/>
      </xdr:nvSpPr>
      <xdr:spPr>
        <a:xfrm>
          <a:off x="502556" y="4248000"/>
          <a:ext cx="1665516" cy="6392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Received</a:t>
          </a: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156027</xdr:colOff>
      <xdr:row>19</xdr:row>
      <xdr:rowOff>228904</xdr:rowOff>
    </xdr:from>
    <xdr:to>
      <xdr:col>3</xdr:col>
      <xdr:colOff>602343</xdr:colOff>
      <xdr:row>22</xdr:row>
      <xdr:rowOff>15121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D79C262-B788-4FD2-AACF-4C6857031291}"/>
            </a:ext>
          </a:extLst>
        </xdr:cNvPr>
        <xdr:cNvSpPr txBox="1"/>
      </xdr:nvSpPr>
      <xdr:spPr>
        <a:xfrm>
          <a:off x="509813" y="4946047"/>
          <a:ext cx="1661887" cy="575431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Out</a:t>
          </a:r>
          <a:r>
            <a:rPr lang="en-US" sz="1800" b="1" baseline="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Of Stock</a:t>
          </a:r>
          <a:endParaRPr lang="en-US" sz="1800" b="1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endParaRPr lang="en-US" sz="1800" b="1">
            <a:solidFill>
              <a:schemeClr val="bg2">
                <a:lumMod val="2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5</xdr:col>
      <xdr:colOff>27214</xdr:colOff>
      <xdr:row>1</xdr:row>
      <xdr:rowOff>7256</xdr:rowOff>
    </xdr:from>
    <xdr:to>
      <xdr:col>23</xdr:col>
      <xdr:colOff>453571</xdr:colOff>
      <xdr:row>4</xdr:row>
      <xdr:rowOff>172357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E63DF13-1918-4FBD-8103-F583711E5AAC}"/>
            </a:ext>
          </a:extLst>
        </xdr:cNvPr>
        <xdr:cNvSpPr txBox="1"/>
      </xdr:nvSpPr>
      <xdr:spPr>
        <a:xfrm>
          <a:off x="2446564" y="191406"/>
          <a:ext cx="18371457" cy="717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1"/>
          <a:r>
            <a:rPr lang="en-US" sz="2800" b="1">
              <a:solidFill>
                <a:schemeClr val="bg2">
                  <a:lumMod val="2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Out Of Stock</a:t>
          </a:r>
        </a:p>
      </xdr:txBody>
    </xdr:sp>
    <xdr:clientData/>
  </xdr:twoCellAnchor>
  <xdr:twoCellAnchor>
    <xdr:from>
      <xdr:col>5</xdr:col>
      <xdr:colOff>45357</xdr:colOff>
      <xdr:row>1</xdr:row>
      <xdr:rowOff>0</xdr:rowOff>
    </xdr:from>
    <xdr:to>
      <xdr:col>5</xdr:col>
      <xdr:colOff>45357</xdr:colOff>
      <xdr:row>5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52AC120-B281-4127-AACC-B4ADEE5222E2}"/>
            </a:ext>
          </a:extLst>
        </xdr:cNvPr>
        <xdr:cNvCxnSpPr/>
      </xdr:nvCxnSpPr>
      <xdr:spPr>
        <a:xfrm>
          <a:off x="2464707" y="184150"/>
          <a:ext cx="0" cy="736600"/>
        </a:xfrm>
        <a:prstGeom prst="line">
          <a:avLst/>
        </a:prstGeom>
        <a:ln w="762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AZI" refreshedDate="46112.79115636574" createdVersion="8" refreshedVersion="8" minRefreshableVersion="3" recordCount="20" xr:uid="{71959BEF-A6F3-42A1-86DF-7F1571E4EDF9}">
  <cacheSource type="worksheet">
    <worksheetSource name="Table7"/>
  </cacheSource>
  <cacheFields count="8">
    <cacheField name="ProductID" numFmtId="0">
      <sharedItems count="2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</sharedItems>
    </cacheField>
    <cacheField name="Products" numFmtId="0">
      <sharedItems count="20">
        <s v="Rainbow Socks"/>
        <s v="Bubble Tea Kit"/>
        <s v="LED Fidget Spinner"/>
        <s v="Gourmet Popcorn Pack"/>
        <s v="Pocket Notebook"/>
        <s v="Slime DIY Kit"/>
        <s v="Reusable Water Bottle"/>
        <s v="Chocolate Pretzel Mix"/>
        <s v="Mini Desk Plant"/>
        <s v="Glow-in-the-Dark Mug"/>
        <s v="Scented Candle Tin"/>
        <s v="Travel Card Holder"/>
        <s v="Cotton Tote Bag"/>
        <s v="Jelly Bean Jar"/>
        <s v="Magnetic Bookmark Set"/>
        <s v="Puzzle Cube Keychain"/>
        <s v="Bamboo Cutlery Set"/>
        <s v="Comic-Themed Notebook"/>
        <s v="Spicy Snack Mix"/>
        <s v="Retro Arcade Keyring"/>
      </sharedItems>
    </cacheField>
    <cacheField name="Cost/Unit" numFmtId="164">
      <sharedItems containsSemiMixedTypes="0" containsString="0" containsNumber="1" containsInteger="1" minValue="3" maxValue="15"/>
    </cacheField>
    <cacheField name="Reorder Level" numFmtId="0">
      <sharedItems containsSemiMixedTypes="0" containsString="0" containsNumber="1" containsInteger="1" minValue="8" maxValue="30"/>
    </cacheField>
    <cacheField name="QuantityOnHand" numFmtId="0">
      <sharedItems containsSemiMixedTypes="0" containsString="0" containsNumber="1" containsInteger="1" minValue="0" maxValue="71"/>
    </cacheField>
    <cacheField name="Stock Value" numFmtId="164">
      <sharedItems containsSemiMixedTypes="0" containsString="0" containsNumber="1" containsInteger="1" minValue="0" maxValue="495"/>
    </cacheField>
    <cacheField name="Reorder" numFmtId="0">
      <sharedItems count="2">
        <s v="NO"/>
        <s v="YES"/>
      </sharedItems>
    </cacheField>
    <cacheField name="Field1" numFmtId="0" formula="Reorder /ProductID" databaseField="0"/>
  </cacheFields>
  <extLst>
    <ext xmlns:x14="http://schemas.microsoft.com/office/spreadsheetml/2009/9/main" uri="{725AE2AE-9491-48be-B2B4-4EB974FC3084}">
      <x14:pivotCacheDefinition pivotCacheId="19085249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AZI" refreshedDate="46115.324371527779" createdVersion="8" refreshedVersion="8" minRefreshableVersion="3" recordCount="39" xr:uid="{6346302F-9474-410E-AB9D-15BC7CDFAFE3}">
  <cacheSource type="worksheet">
    <worksheetSource ref="F8:J47" sheet="Recieved"/>
  </cacheSource>
  <cacheFields count="5">
    <cacheField name="ProductName" numFmtId="0">
      <sharedItems/>
    </cacheField>
    <cacheField name="Date" numFmtId="15">
      <sharedItems containsSemiMixedTypes="0" containsNonDate="0" containsDate="1" containsString="0" minDate="2025-08-31T00:00:00" maxDate="2025-09-01T00:00:00" count="1">
        <d v="2025-08-31T00:00:00"/>
      </sharedItems>
    </cacheField>
    <cacheField name="ProductID" numFmtId="0">
      <sharedItems/>
    </cacheField>
    <cacheField name="Quantity" numFmtId="0">
      <sharedItems containsSemiMixedTypes="0" containsString="0" containsNumber="1" containsInteger="1" minValue="2" maxValue="49"/>
    </cacheField>
    <cacheField name="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8"/>
    <n v="20"/>
    <n v="51"/>
    <n v="408"/>
    <x v="0"/>
  </r>
  <r>
    <x v="1"/>
    <x v="1"/>
    <n v="12"/>
    <n v="15"/>
    <n v="0"/>
    <n v="0"/>
    <x v="1"/>
  </r>
  <r>
    <x v="2"/>
    <x v="2"/>
    <n v="6"/>
    <n v="10"/>
    <n v="71"/>
    <n v="426"/>
    <x v="0"/>
  </r>
  <r>
    <x v="3"/>
    <x v="3"/>
    <n v="5"/>
    <n v="25"/>
    <n v="49"/>
    <n v="245"/>
    <x v="0"/>
  </r>
  <r>
    <x v="4"/>
    <x v="4"/>
    <n v="3"/>
    <n v="30"/>
    <n v="27"/>
    <n v="81"/>
    <x v="1"/>
  </r>
  <r>
    <x v="5"/>
    <x v="5"/>
    <n v="9"/>
    <n v="12"/>
    <n v="55"/>
    <n v="495"/>
    <x v="0"/>
  </r>
  <r>
    <x v="6"/>
    <x v="6"/>
    <n v="15"/>
    <n v="20"/>
    <n v="24"/>
    <n v="360"/>
    <x v="0"/>
  </r>
  <r>
    <x v="7"/>
    <x v="7"/>
    <n v="4"/>
    <n v="25"/>
    <n v="28"/>
    <n v="112"/>
    <x v="0"/>
  </r>
  <r>
    <x v="8"/>
    <x v="8"/>
    <n v="10"/>
    <n v="8"/>
    <n v="7"/>
    <n v="70"/>
    <x v="1"/>
  </r>
  <r>
    <x v="9"/>
    <x v="9"/>
    <n v="11"/>
    <n v="10"/>
    <n v="0"/>
    <n v="0"/>
    <x v="1"/>
  </r>
  <r>
    <x v="10"/>
    <x v="10"/>
    <n v="7"/>
    <n v="18"/>
    <n v="18"/>
    <n v="126"/>
    <x v="0"/>
  </r>
  <r>
    <x v="11"/>
    <x v="11"/>
    <n v="5"/>
    <n v="15"/>
    <n v="0"/>
    <n v="0"/>
    <x v="1"/>
  </r>
  <r>
    <x v="12"/>
    <x v="12"/>
    <n v="6"/>
    <n v="20"/>
    <n v="0"/>
    <n v="0"/>
    <x v="1"/>
  </r>
  <r>
    <x v="13"/>
    <x v="13"/>
    <n v="7"/>
    <n v="12"/>
    <n v="7"/>
    <n v="49"/>
    <x v="1"/>
  </r>
  <r>
    <x v="14"/>
    <x v="14"/>
    <n v="4"/>
    <n v="15"/>
    <n v="0"/>
    <n v="0"/>
    <x v="1"/>
  </r>
  <r>
    <x v="15"/>
    <x v="15"/>
    <n v="6"/>
    <n v="10"/>
    <n v="0"/>
    <n v="0"/>
    <x v="1"/>
  </r>
  <r>
    <x v="16"/>
    <x v="16"/>
    <n v="8"/>
    <n v="12"/>
    <n v="6"/>
    <n v="48"/>
    <x v="1"/>
  </r>
  <r>
    <x v="17"/>
    <x v="17"/>
    <n v="4"/>
    <n v="20"/>
    <n v="8"/>
    <n v="32"/>
    <x v="1"/>
  </r>
  <r>
    <x v="18"/>
    <x v="18"/>
    <n v="5"/>
    <n v="25"/>
    <n v="35"/>
    <n v="175"/>
    <x v="0"/>
  </r>
  <r>
    <x v="19"/>
    <x v="19"/>
    <n v="7"/>
    <n v="10"/>
    <n v="45"/>
    <n v="31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Glow-in-the-Dark Mug"/>
    <x v="0"/>
    <s v="P010"/>
    <n v="43"/>
    <s v="Received"/>
  </r>
  <r>
    <s v="Rainbow Socks"/>
    <x v="0"/>
    <s v="P001"/>
    <n v="46"/>
    <s v="Received"/>
  </r>
  <r>
    <s v="Magnetic Bookmark Set"/>
    <x v="0"/>
    <s v="P015"/>
    <n v="41"/>
    <s v="Received"/>
  </r>
  <r>
    <s v="Mini Desk Plant"/>
    <x v="0"/>
    <s v="P009"/>
    <n v="26"/>
    <s v="Received"/>
  </r>
  <r>
    <s v="Bamboo Cutlery Set"/>
    <x v="0"/>
    <s v="P017"/>
    <n v="6"/>
    <s v="Received"/>
  </r>
  <r>
    <s v="Travel Card Holder"/>
    <x v="0"/>
    <s v="P012"/>
    <n v="7"/>
    <s v="Received"/>
  </r>
  <r>
    <s v="Puzzle Cube Keychain"/>
    <x v="0"/>
    <s v="P016"/>
    <n v="48"/>
    <s v="Received"/>
  </r>
  <r>
    <s v="Retro Arcade Keyring"/>
    <x v="0"/>
    <s v="P020"/>
    <n v="27"/>
    <s v="Received"/>
  </r>
  <r>
    <s v="Pocket Notebook"/>
    <x v="0"/>
    <s v="P005"/>
    <n v="40"/>
    <s v="Received"/>
  </r>
  <r>
    <s v="Bubble Tea Kit"/>
    <x v="0"/>
    <s v="P002"/>
    <n v="4"/>
    <s v="Received"/>
  </r>
  <r>
    <s v="Gourmet Popcorn Pack"/>
    <x v="0"/>
    <s v="P004"/>
    <n v="34"/>
    <s v="Received"/>
  </r>
  <r>
    <s v="Scented Candle Tin"/>
    <x v="0"/>
    <s v="P011"/>
    <n v="6"/>
    <s v="Received"/>
  </r>
  <r>
    <s v="Slime DIY Kit"/>
    <x v="0"/>
    <s v="P006"/>
    <n v="28"/>
    <s v="Received"/>
  </r>
  <r>
    <s v="Comic-Themed Notebook"/>
    <x v="0"/>
    <s v="P018"/>
    <n v="35"/>
    <s v="Received"/>
  </r>
  <r>
    <s v="LED Fidget Spinner"/>
    <x v="0"/>
    <s v="P003"/>
    <n v="45"/>
    <s v="Received"/>
  </r>
  <r>
    <s v="Spicy Snack Mix"/>
    <x v="0"/>
    <s v="P019"/>
    <n v="2"/>
    <s v="Received"/>
  </r>
  <r>
    <s v="Cotton Tote Bag"/>
    <x v="0"/>
    <s v="P013"/>
    <n v="10"/>
    <s v="Received"/>
  </r>
  <r>
    <s v="Reusable Water Bottle"/>
    <x v="0"/>
    <s v="P007"/>
    <n v="17"/>
    <s v="Received"/>
  </r>
  <r>
    <s v="Chocolate Pretzel Mix"/>
    <x v="0"/>
    <s v="P008"/>
    <n v="21"/>
    <s v="Received"/>
  </r>
  <r>
    <s v="Reusable Water Bottle"/>
    <x v="0"/>
    <s v="P007"/>
    <n v="35"/>
    <s v="Received"/>
  </r>
  <r>
    <s v="Cotton Tote Bag"/>
    <x v="0"/>
    <s v="P013"/>
    <n v="14"/>
    <s v="Received"/>
  </r>
  <r>
    <s v="Pocket Notebook"/>
    <x v="0"/>
    <s v="P005"/>
    <n v="7"/>
    <s v="Received"/>
  </r>
  <r>
    <s v="Rainbow Socks"/>
    <x v="0"/>
    <s v="P001"/>
    <n v="21"/>
    <s v="Received"/>
  </r>
  <r>
    <s v="Gourmet Popcorn Pack"/>
    <x v="0"/>
    <s v="P004"/>
    <n v="27"/>
    <s v="Received"/>
  </r>
  <r>
    <s v="Travel Card Holder"/>
    <x v="0"/>
    <s v="P012"/>
    <n v="21"/>
    <s v="Received"/>
  </r>
  <r>
    <s v="Magnetic Bookmark Set"/>
    <x v="0"/>
    <s v="P015"/>
    <n v="2"/>
    <s v="Received"/>
  </r>
  <r>
    <s v="Retro Arcade Keyring"/>
    <x v="0"/>
    <s v="P020"/>
    <n v="49"/>
    <s v="Received"/>
  </r>
  <r>
    <s v="Chocolate Pretzel Mix"/>
    <x v="0"/>
    <s v="P008"/>
    <n v="30"/>
    <s v="Received"/>
  </r>
  <r>
    <s v="Jelly Bean Jar"/>
    <x v="0"/>
    <s v="P014"/>
    <n v="42"/>
    <s v="Received"/>
  </r>
  <r>
    <s v="Glow-in-the-Dark Mug"/>
    <x v="0"/>
    <s v="P010"/>
    <n v="15"/>
    <s v="Received"/>
  </r>
  <r>
    <s v="Puzzle Cube Keychain"/>
    <x v="0"/>
    <s v="P016"/>
    <n v="15"/>
    <s v="Received"/>
  </r>
  <r>
    <s v="Bamboo Cutlery Set"/>
    <x v="0"/>
    <s v="P017"/>
    <n v="27"/>
    <s v="Received"/>
  </r>
  <r>
    <s v="Bubble Tea Kit"/>
    <x v="0"/>
    <s v="P002"/>
    <n v="22"/>
    <s v="Received"/>
  </r>
  <r>
    <s v="Comic-Themed Notebook"/>
    <x v="0"/>
    <s v="P018"/>
    <n v="18"/>
    <s v="Received"/>
  </r>
  <r>
    <s v="LED Fidget Spinner"/>
    <x v="0"/>
    <s v="P003"/>
    <n v="39"/>
    <s v="Received"/>
  </r>
  <r>
    <s v="Slime DIY Kit"/>
    <x v="0"/>
    <s v="P006"/>
    <n v="41"/>
    <s v="Received"/>
  </r>
  <r>
    <s v="Mini Desk Plant"/>
    <x v="0"/>
    <s v="P009"/>
    <n v="28"/>
    <s v="Received"/>
  </r>
  <r>
    <s v="Spicy Snack Mix"/>
    <x v="0"/>
    <s v="P019"/>
    <n v="44"/>
    <s v="Received"/>
  </r>
  <r>
    <s v="Scented Candle Tin"/>
    <x v="0"/>
    <s v="P011"/>
    <n v="45"/>
    <s v="Receiv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C3136-5E97-4560-B1F5-2E5BB22EB6E4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ck Report">
  <location ref="N7:O28" firstHeaderRow="1" firstDataRow="1" firstDataCol="1"/>
  <pivotFields count="8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 sortType="ascending">
      <items count="21">
        <item x="16"/>
        <item x="1"/>
        <item x="7"/>
        <item x="17"/>
        <item x="12"/>
        <item x="9"/>
        <item x="3"/>
        <item x="13"/>
        <item x="2"/>
        <item x="14"/>
        <item x="8"/>
        <item x="4"/>
        <item x="15"/>
        <item x="0"/>
        <item x="19"/>
        <item x="6"/>
        <item x="10"/>
        <item x="5"/>
        <item x="18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dataField="1" showAll="0"/>
    <pivotField numFmtId="164" showAll="0"/>
    <pivotField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1"/>
  </rowFields>
  <rowItems count="21">
    <i>
      <x v="9"/>
    </i>
    <i>
      <x v="5"/>
    </i>
    <i>
      <x v="19"/>
    </i>
    <i>
      <x v="4"/>
    </i>
    <i>
      <x v="12"/>
    </i>
    <i>
      <x v="1"/>
    </i>
    <i>
      <x/>
    </i>
    <i>
      <x v="10"/>
    </i>
    <i>
      <x v="7"/>
    </i>
    <i>
      <x v="3"/>
    </i>
    <i>
      <x v="16"/>
    </i>
    <i>
      <x v="15"/>
    </i>
    <i>
      <x v="11"/>
    </i>
    <i>
      <x v="2"/>
    </i>
    <i>
      <x v="18"/>
    </i>
    <i>
      <x v="14"/>
    </i>
    <i>
      <x v="6"/>
    </i>
    <i>
      <x v="13"/>
    </i>
    <i>
      <x v="17"/>
    </i>
    <i>
      <x v="8"/>
    </i>
    <i t="grand">
      <x/>
    </i>
  </rowItems>
  <colItems count="1">
    <i/>
  </colItems>
  <dataFields count="1">
    <dataField name="QuantityOnHand " fld="4" baseField="1" baseItem="0"/>
  </dataFields>
  <formats count="15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" type="button" dataOnly="0" labelOnly="1" outline="0" axis="axisRow" fieldPosition="0"/>
    </format>
    <format dxfId="67">
      <pivotArea dataOnly="0" labelOnly="1" grandRow="1" outline="0" fieldPosition="0"/>
    </format>
    <format dxfId="66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" type="button" dataOnly="0" labelOnly="1" outline="0" axis="axisRow" fieldPosition="0"/>
    </format>
    <format dxfId="62">
      <pivotArea dataOnly="0" labelOnly="1" fieldPosition="0">
        <references count="1">
          <reference field="1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field="1" type="button" dataOnly="0" labelOnly="1" outline="0" axis="axisRow" fieldPosition="0"/>
    </format>
    <format dxfId="58">
      <pivotArea dataOnly="0" labelOnly="1" outline="0" axis="axisValues" fieldPosition="0"/>
    </format>
    <format dxfId="57">
      <pivotArea dataOnly="0" fieldPosition="0">
        <references count="1">
          <reference field="1" count="0"/>
        </references>
      </pivotArea>
    </format>
    <format dxfId="56">
      <pivotArea dataOnly="0" fieldPosition="0">
        <references count="1">
          <reference field="1" count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2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</conditionalFormat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E8C57-9CDD-4F78-8000-FBADCFCD220B}" name="PivotTable6 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I14:J17" firstHeaderRow="1" firstDataRow="1" firstDataCol="1"/>
  <pivotFields count="8">
    <pivotField showAll="0"/>
    <pivotField dataField="1" showAll="0"/>
    <pivotField numFmtId="164" showAll="0"/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Products" fld="1" subtotal="count" showDataAs="percentOfTotal" baseField="0" baseItem="0" numFmtId="10"/>
  </dataFields>
  <formats count="1">
    <format dxfId="7">
      <pivotArea collapsedLevelsAreSubtotals="1" fieldPosition="0">
        <references count="1">
          <reference field="6" count="0"/>
        </references>
      </pivotArea>
    </format>
  </formats>
  <chartFormats count="3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453FA-203F-444E-ABBC-43125613BB41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9:J11" firstHeaderRow="1" firstDataRow="1" firstDataCol="1"/>
  <pivotFields count="5">
    <pivotField showAll="0"/>
    <pivotField axis="axisRow" numFmtId="15" showAll="0">
      <items count="2">
        <item x="0"/>
        <item t="default"/>
      </items>
    </pivotField>
    <pivotField showAll="0"/>
    <pivotField dataField="1"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F7887-8BFE-4DA6-94BF-74B01481ED3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B3" firstHeaderRow="1" firstDataRow="1" firstDataCol="0"/>
  <pivotFields count="8">
    <pivotField showAll="0"/>
    <pivotField showAll="0"/>
    <pivotField numFmtId="164" showAll="0"/>
    <pivotField showAll="0"/>
    <pivotField showAll="0"/>
    <pivotField dataField="1" numFmtId="164" showAll="0"/>
    <pivotField showAll="0">
      <items count="3">
        <item x="0"/>
        <item x="1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Total Stock Value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8813A-2F69-4B36-B981-BA3D4BBC37D8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ock Report">
  <location ref="F2:G23" firstHeaderRow="1" firstDataRow="1" firstDataCol="1"/>
  <pivotFields count="8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 sortType="ascending">
      <items count="21">
        <item x="16"/>
        <item x="1"/>
        <item x="7"/>
        <item x="17"/>
        <item x="12"/>
        <item x="9"/>
        <item x="3"/>
        <item x="13"/>
        <item x="2"/>
        <item x="14"/>
        <item x="8"/>
        <item x="4"/>
        <item x="15"/>
        <item x="0"/>
        <item x="19"/>
        <item x="6"/>
        <item x="10"/>
        <item x="5"/>
        <item x="18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dataField="1" showAll="0"/>
    <pivotField numFmtId="164" showAll="0"/>
    <pivotField showAll="0">
      <items count="3">
        <item x="0"/>
        <item x="1"/>
        <item t="default"/>
      </items>
    </pivotField>
    <pivotField dragToRow="0" dragToCol="0" dragToPage="0" showAll="0" defaultSubtotal="0"/>
  </pivotFields>
  <rowFields count="1">
    <field x="1"/>
  </rowFields>
  <rowItems count="21">
    <i>
      <x v="9"/>
    </i>
    <i>
      <x v="5"/>
    </i>
    <i>
      <x v="19"/>
    </i>
    <i>
      <x v="4"/>
    </i>
    <i>
      <x v="12"/>
    </i>
    <i>
      <x v="1"/>
    </i>
    <i>
      <x/>
    </i>
    <i>
      <x v="10"/>
    </i>
    <i>
      <x v="7"/>
    </i>
    <i>
      <x v="3"/>
    </i>
    <i>
      <x v="16"/>
    </i>
    <i>
      <x v="15"/>
    </i>
    <i>
      <x v="11"/>
    </i>
    <i>
      <x v="2"/>
    </i>
    <i>
      <x v="18"/>
    </i>
    <i>
      <x v="14"/>
    </i>
    <i>
      <x v="6"/>
    </i>
    <i>
      <x v="13"/>
    </i>
    <i>
      <x v="17"/>
    </i>
    <i>
      <x v="8"/>
    </i>
    <i t="grand">
      <x/>
    </i>
  </rowItems>
  <colItems count="1">
    <i/>
  </colItems>
  <dataFields count="1">
    <dataField name="QuantityOnHand " fld="4" baseField="1" baseItem="0"/>
  </dataFields>
  <formats count="12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2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</conditional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88EA7-F52F-424B-B53B-D46A7B0202CB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B13" firstHeaderRow="1" firstDataRow="1" firstDataCol="0" rowPageCount="1" colPageCount="1"/>
  <pivotFields count="8">
    <pivotField showAll="0"/>
    <pivotField showAll="0"/>
    <pivotField numFmtId="164" showAll="0"/>
    <pivotField showAll="0"/>
    <pivotField showAll="0"/>
    <pivotField numFmtId="164" showAll="0"/>
    <pivotField axis="axisPage" dataField="1" showAll="0">
      <items count="3">
        <item x="0"/>
        <item x="1"/>
        <item t="default"/>
      </items>
    </pivotField>
    <pivotField dragToRow="0" dragToCol="0" dragToPage="0" showAll="0" defaultSubtotal="0"/>
  </pivotFields>
  <rowItems count="1">
    <i/>
  </rowItems>
  <colItems count="1">
    <i/>
  </colItems>
  <pageFields count="1">
    <pageField fld="6" item="1" hier="-1"/>
  </pageFields>
  <dataFields count="1">
    <dataField name="Count of Reorder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CA26E-8A47-4E1A-AE83-B7264F10867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B7" firstHeaderRow="1" firstDataRow="1" firstDataCol="0"/>
  <pivotFields count="8">
    <pivotField dataField="1" showAll="0"/>
    <pivotField showAll="0"/>
    <pivotField numFmtId="164" showAll="0"/>
    <pivotField showAll="0"/>
    <pivotField showAll="0"/>
    <pivotField numFmtId="164" showAll="0"/>
    <pivotField showAll="0">
      <items count="3">
        <item x="0"/>
        <item x="1"/>
        <item t="default"/>
      </items>
    </pivotField>
    <pivotField dragToRow="0" dragToCol="0" dragToPage="0" showAll="0" defaultSubtotal="0"/>
  </pivotFields>
  <rowItems count="1">
    <i/>
  </rowItems>
  <colItems count="1">
    <i/>
  </colItems>
  <dataFields count="1">
    <dataField name="Count of Produc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E8BB62-2CF0-4BE0-83DA-BD07AE6E9B82}" name="Table4" displayName="Table4" ref="F8:M28" totalsRowShown="0" headerRowDxfId="55" dataDxfId="54">
  <autoFilter ref="F8:M28" xr:uid="{56E8BB62-2CF0-4BE0-83DA-BD07AE6E9B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44E4B7-6191-4A4A-A901-2C732F83227C}" name="ProductID" dataDxfId="53"/>
    <tableColumn id="2" xr3:uid="{1C9876BF-FC75-44F9-BF5C-FFEEB9C866D5}" name="ProductName" dataDxfId="52"/>
    <tableColumn id="3" xr3:uid="{0F99997C-CDA0-474F-A201-0E102D921306}" name="Category" dataDxfId="51"/>
    <tableColumn id="4" xr3:uid="{9CB56916-2D70-44D2-AF81-D8B313C057CD}" name="Cost/Unit" dataDxfId="50"/>
    <tableColumn id="5" xr3:uid="{BDAD9E47-5B95-4A09-B321-765E2463568A}" name="ReorderLevel" dataDxfId="49"/>
    <tableColumn id="6" xr3:uid="{E9B9B155-0B0D-4BF8-9D73-F152501D15D4}" name="Supplier" dataDxfId="48"/>
    <tableColumn id="7" xr3:uid="{9F56C220-3582-4DE7-83B8-1E178E0B7179}" name="Contact Name" dataDxfId="47"/>
    <tableColumn id="8" xr3:uid="{06267294-C5F2-4B7E-8C16-89CB61120738}" name="Email Address" dataDxfId="4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E9E00F-72CA-4C28-A077-C4BAE98C0A99}" name="Table7" displayName="Table7" ref="F8:L28" totalsRowShown="0" headerRowDxfId="45" dataDxfId="44">
  <autoFilter ref="F8:L28" xr:uid="{1BE9E00F-72CA-4C28-A077-C4BAE98C0A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72DA916E-4F6C-4F15-9887-4DC3C4DFF180}" name="ProductID" dataDxfId="43">
      <calculatedColumnFormula>Table4[[#This Row],[ProductID]]</calculatedColumnFormula>
    </tableColumn>
    <tableColumn id="2" xr3:uid="{EC3F77B0-F5DE-41E2-AA29-6D1F1A05688A}" name="Products" dataDxfId="42">
      <calculatedColumnFormula>_xlfn.XLOOKUP(Table7[[#This Row],[ProductID]],Table4[ProductID],Table4[ProductName],"Not Found")</calculatedColumnFormula>
    </tableColumn>
    <tableColumn id="3" xr3:uid="{C765D41D-CEC0-4A06-AB50-1646AA24DFD0}" name="Cost/Unit" dataDxfId="41">
      <calculatedColumnFormula>_xlfn.XLOOKUP(Table7[[#This Row],[Products]],Table4[ProductName],Table4[Cost/Unit],"Not Found")</calculatedColumnFormula>
    </tableColumn>
    <tableColumn id="4" xr3:uid="{19F63667-B904-457A-9582-8C1646354BE6}" name="Reorder Level" dataDxfId="40">
      <calculatedColumnFormula>_xlfn.XLOOKUP(Table7[[#This Row],[Products]],Table4[ProductName],Table4[ReorderLevel],"Not Found")</calculatedColumnFormula>
    </tableColumn>
    <tableColumn id="5" xr3:uid="{13F9396F-3FBC-4EC2-9ACF-8B8860723AEB}" name="QuantityOnHand" dataDxfId="39">
      <calculatedColumnFormula>IF(SUMIFS(Recieved!I8:I46,Recieved!H8:H46,Table7[[#This Row],[ProductID]])-SUMIFS(Table6[Quantity],Table6[ProductID],Table7[[#This Row],[ProductID]])&lt;0,0,SUMIFS(Recieved!I8:I46,Recieved!H8:H46,Table7[[#This Row],[ProductID]])-SUMIFS(Table6[Quantity],Table6[ProductID],Table7[[#This Row],[ProductID]]))</calculatedColumnFormula>
    </tableColumn>
    <tableColumn id="6" xr3:uid="{858697DB-EF01-4338-A455-680F1532D545}" name="Stock Value" dataDxfId="38">
      <calculatedColumnFormula>Table7[[#This Row],[Cost/Unit]]*Table7[[#This Row],[QuantityOnHand]]</calculatedColumnFormula>
    </tableColumn>
    <tableColumn id="7" xr3:uid="{08E07921-43A9-4310-BE50-B80521067A43}" name="Reorder" dataDxfId="37">
      <calculatedColumnFormula>IF(Table7[[#This Row],[QuantityOnHand]]&lt;Table7[[#This Row],[Reorder Level]],"YES","NO")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27238C-83EF-4315-B5BF-ED73E9646645}" name="Table6" displayName="Table6" ref="F8:J38" totalsRowShown="0" headerRowDxfId="36" dataDxfId="35">
  <autoFilter ref="F8:J38" xr:uid="{BC27238C-83EF-4315-B5BF-ED73E96466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6D894AF-8B56-4FBC-AD2D-5C06A9282B89}" name="ProductName" dataDxfId="34"/>
    <tableColumn id="5" xr3:uid="{4B873A1E-6873-4936-BBF1-C15FF1128BC4}" name="Date" dataDxfId="33"/>
    <tableColumn id="2" xr3:uid="{1156B46B-C1BF-40D6-97A9-856EB81963F5}" name="ProductID" dataDxfId="32">
      <calculatedColumnFormula>_xlfn.XLOOKUP(Table6[[#This Row],[ProductName]],Table4[ProductName],Table4[ProductID],"Item Not Found",0)</calculatedColumnFormula>
    </tableColumn>
    <tableColumn id="3" xr3:uid="{82921E2A-4FC9-4BED-A326-4CFC4CD2590B}" name="Quantity" dataDxfId="31"/>
    <tableColumn id="4" xr3:uid="{CDBE6299-070A-40DD-885C-AD3BA7E2642F}" name="Type" dataDxfId="3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4B0E-AD0D-4FF4-BE00-96188E05EF1E}">
  <dimension ref="F7:O28"/>
  <sheetViews>
    <sheetView tabSelected="1" zoomScale="46" zoomScaleNormal="70" workbookViewId="0"/>
  </sheetViews>
  <sheetFormatPr defaultRowHeight="14.5" x14ac:dyDescent="0.35"/>
  <cols>
    <col min="1" max="1" width="5.08984375" style="1" customWidth="1"/>
    <col min="2" max="4" width="8.7265625" style="1"/>
    <col min="5" max="5" width="3.36328125" style="1" customWidth="1"/>
    <col min="6" max="6" width="18.54296875" style="1" customWidth="1"/>
    <col min="7" max="7" width="40.6328125" style="1" bestFit="1" customWidth="1"/>
    <col min="8" max="8" width="16.36328125" style="1" customWidth="1"/>
    <col min="9" max="9" width="10.08984375" style="1" customWidth="1"/>
    <col min="10" max="10" width="34.90625" style="1" bestFit="1" customWidth="1"/>
    <col min="11" max="11" width="25.08984375" style="1" customWidth="1"/>
    <col min="12" max="12" width="44.7265625" style="1" bestFit="1" customWidth="1"/>
    <col min="13" max="13" width="3.08984375" style="1" customWidth="1"/>
    <col min="14" max="14" width="38.6328125" style="1" bestFit="1" customWidth="1"/>
    <col min="15" max="15" width="23" style="1" bestFit="1" customWidth="1"/>
    <col min="16" max="16384" width="8.7265625" style="1"/>
  </cols>
  <sheetData>
    <row r="7" spans="14:15" ht="16" x14ac:dyDescent="0.35">
      <c r="N7" s="27" t="s">
        <v>96</v>
      </c>
      <c r="O7" s="28" t="s">
        <v>97</v>
      </c>
    </row>
    <row r="8" spans="14:15" ht="22" x14ac:dyDescent="0.65">
      <c r="N8" s="37" t="s">
        <v>72</v>
      </c>
      <c r="O8" s="38">
        <v>0</v>
      </c>
    </row>
    <row r="9" spans="14:15" ht="22" x14ac:dyDescent="0.65">
      <c r="N9" s="37" t="s">
        <v>59</v>
      </c>
      <c r="O9" s="38">
        <v>0</v>
      </c>
    </row>
    <row r="10" spans="14:15" ht="22" x14ac:dyDescent="0.65">
      <c r="N10" s="37" t="s">
        <v>64</v>
      </c>
      <c r="O10" s="38">
        <v>0</v>
      </c>
    </row>
    <row r="11" spans="14:15" ht="22" x14ac:dyDescent="0.65">
      <c r="N11" s="37" t="s">
        <v>67</v>
      </c>
      <c r="O11" s="38">
        <v>0</v>
      </c>
    </row>
    <row r="12" spans="14:15" ht="22" x14ac:dyDescent="0.65">
      <c r="N12" s="37" t="s">
        <v>74</v>
      </c>
      <c r="O12" s="38">
        <v>0</v>
      </c>
    </row>
    <row r="13" spans="14:15" ht="22" x14ac:dyDescent="0.65">
      <c r="N13" s="37" t="s">
        <v>33</v>
      </c>
      <c r="O13" s="38">
        <v>0</v>
      </c>
    </row>
    <row r="14" spans="14:15" ht="22" x14ac:dyDescent="0.65">
      <c r="N14" s="37" t="s">
        <v>76</v>
      </c>
      <c r="O14" s="38">
        <v>6</v>
      </c>
    </row>
    <row r="15" spans="14:15" ht="22" x14ac:dyDescent="0.65">
      <c r="N15" s="37" t="s">
        <v>56</v>
      </c>
      <c r="O15" s="38">
        <v>7</v>
      </c>
    </row>
    <row r="16" spans="14:15" ht="22" x14ac:dyDescent="0.65">
      <c r="N16" s="37" t="s">
        <v>69</v>
      </c>
      <c r="O16" s="38">
        <v>7</v>
      </c>
    </row>
    <row r="17" spans="6:15" ht="28.5" x14ac:dyDescent="0.65">
      <c r="F17" s="31" t="s">
        <v>22</v>
      </c>
      <c r="G17" s="31" t="s">
        <v>23</v>
      </c>
      <c r="H17" s="31" t="s">
        <v>86</v>
      </c>
      <c r="I17" s="31" t="s">
        <v>99</v>
      </c>
      <c r="J17" s="31" t="s">
        <v>27</v>
      </c>
      <c r="K17" s="31" t="s">
        <v>19</v>
      </c>
      <c r="L17" s="31" t="s">
        <v>18</v>
      </c>
      <c r="N17" s="37" t="s">
        <v>78</v>
      </c>
      <c r="O17" s="38">
        <v>8</v>
      </c>
    </row>
    <row r="18" spans="6:15" ht="26.5" x14ac:dyDescent="0.65">
      <c r="F18" s="30" t="str" cm="1">
        <f t="array" ref="F18:F28">_xlfn._xlws.FILTER(Table7[ProductID],Table7[Reorder]="yes")</f>
        <v>P002</v>
      </c>
      <c r="G18" s="32" t="str">
        <f>_xlfn.XLOOKUP(DashBoard!F18,Table7[ProductID],Table7[Products],,0)</f>
        <v>Bubble Tea Kit</v>
      </c>
      <c r="H18" s="29"/>
      <c r="I18" s="29"/>
      <c r="J18" s="32" t="str">
        <f>_xlfn.XLOOKUP(DashBoard!F18,Table4[ProductID],Table4[Supplier],,0)</f>
        <v>Tasty Treats Ltd.</v>
      </c>
      <c r="K18" s="32" t="str">
        <f>_xlfn.XLOOKUP(DashBoard!J18,Table4[Supplier],Table4[Contact Name],,0)</f>
        <v>Mike Dean</v>
      </c>
      <c r="L18" s="32" t="str">
        <f>_xlfn.XLOOKUP(K18,Table4[Contact Name],Table4[Email Address],,0)</f>
        <v>mike.dean@gmail.com</v>
      </c>
      <c r="N18" s="37" t="s">
        <v>62</v>
      </c>
      <c r="O18" s="38">
        <v>18</v>
      </c>
    </row>
    <row r="19" spans="6:15" ht="26.5" x14ac:dyDescent="0.65">
      <c r="F19" s="30" t="str">
        <v>P005</v>
      </c>
      <c r="G19" s="32" t="str">
        <f>_xlfn.XLOOKUP(DashBoard!F19,Table7[ProductID],Table7[Products],,0)</f>
        <v>Pocket Notebook</v>
      </c>
      <c r="J19" s="32" t="str">
        <f>_xlfn.XLOOKUP(DashBoard!F19,Table4[ProductID],Table4[Supplier],,0)</f>
        <v>PaperWorks Supplies</v>
      </c>
      <c r="K19" s="32" t="str">
        <f>_xlfn.XLOOKUP(DashBoard!J19,Table4[Supplier],Table4[Contact Name],,0)</f>
        <v>Josh Smith</v>
      </c>
      <c r="L19" s="32" t="str">
        <f>_xlfn.XLOOKUP(K19,Table4[Contact Name],Table4[Email Address],,0)</f>
        <v>josh.smith@gmail.com</v>
      </c>
      <c r="N19" s="37" t="s">
        <v>50</v>
      </c>
      <c r="O19" s="38">
        <v>24</v>
      </c>
    </row>
    <row r="20" spans="6:15" ht="26.5" x14ac:dyDescent="0.65">
      <c r="F20" s="30" t="str">
        <v>P009</v>
      </c>
      <c r="G20" s="32" t="str">
        <f>_xlfn.XLOOKUP(DashBoard!F20,Table7[ProductID],Table7[Products],,0)</f>
        <v>Mini Desk Plant</v>
      </c>
      <c r="J20" s="32" t="str">
        <f>_xlfn.XLOOKUP(DashBoard!F20,Table4[ProductID],Table4[Supplier],,0)</f>
        <v>GreenThumb Supplies</v>
      </c>
      <c r="K20" s="32" t="str">
        <f>_xlfn.XLOOKUP(DashBoard!J20,Table4[Supplier],Table4[Contact Name],,0)</f>
        <v>Mikel Artena</v>
      </c>
      <c r="L20" s="32" t="str">
        <f>_xlfn.XLOOKUP(K20,Table4[Contact Name],Table4[Email Address],,0)</f>
        <v>mikel.artena@gmail.com</v>
      </c>
      <c r="N20" s="37" t="s">
        <v>44</v>
      </c>
      <c r="O20" s="38">
        <v>27</v>
      </c>
    </row>
    <row r="21" spans="6:15" ht="26.5" x14ac:dyDescent="0.65">
      <c r="F21" s="30" t="str">
        <v>P010</v>
      </c>
      <c r="G21" s="32" t="str">
        <f>_xlfn.XLOOKUP(DashBoard!F21,Table7[ProductID],Table7[Products],,0)</f>
        <v>Glow-in-the-Dark Mug</v>
      </c>
      <c r="J21" s="32" t="str">
        <f>_xlfn.XLOOKUP(DashBoard!F21,Table4[ProductID],Table4[Supplier],,0)</f>
        <v>CozyHome Traders</v>
      </c>
      <c r="K21" s="32" t="str">
        <f>_xlfn.XLOOKUP(DashBoard!J21,Table4[Supplier],Table4[Contact Name],,0)</f>
        <v>Mikel Artena</v>
      </c>
      <c r="L21" s="32" t="str">
        <f>_xlfn.XLOOKUP(K21,Table4[Contact Name],Table4[Email Address],,0)</f>
        <v>mikel.artena@gmail.com</v>
      </c>
      <c r="N21" s="37" t="s">
        <v>54</v>
      </c>
      <c r="O21" s="38">
        <v>28</v>
      </c>
    </row>
    <row r="22" spans="6:15" ht="26.5" x14ac:dyDescent="0.65">
      <c r="F22" s="30" t="str">
        <v>P012</v>
      </c>
      <c r="G22" s="32" t="str">
        <f>_xlfn.XLOOKUP(DashBoard!F22,Table7[ProductID],Table7[Products],,0)</f>
        <v>Travel Card Holder</v>
      </c>
      <c r="J22" s="32" t="str">
        <f>_xlfn.XLOOKUP(DashBoard!F22,Table4[ProductID],Table4[Supplier],,0)</f>
        <v>Urban Style Ltd.</v>
      </c>
      <c r="K22" s="32" t="str">
        <f>_xlfn.XLOOKUP(DashBoard!J22,Table4[Supplier],Table4[Contact Name],,0)</f>
        <v>Miriam Adelson</v>
      </c>
      <c r="L22" s="32" t="str">
        <f>_xlfn.XLOOKUP(K22,Table4[Contact Name],Table4[Email Address],,0)</f>
        <v>miriam.adelson@gmail.com</v>
      </c>
      <c r="N22" s="37" t="s">
        <v>80</v>
      </c>
      <c r="O22" s="38">
        <v>35</v>
      </c>
    </row>
    <row r="23" spans="6:15" ht="26.5" x14ac:dyDescent="0.65">
      <c r="F23" s="30" t="str">
        <v>P013</v>
      </c>
      <c r="G23" s="32" t="str">
        <f>_xlfn.XLOOKUP(DashBoard!F23,Table7[ProductID],Table7[Products],,0)</f>
        <v>Cotton Tote Bag</v>
      </c>
      <c r="J23" s="32" t="str">
        <f>_xlfn.XLOOKUP(DashBoard!F23,Table4[ProductID],Table4[Supplier],,0)</f>
        <v>CozyWear Co.</v>
      </c>
      <c r="K23" s="32" t="str">
        <f>_xlfn.XLOOKUP(DashBoard!J23,Table4[Supplier],Table4[Contact Name],,0)</f>
        <v>Josh Smith</v>
      </c>
      <c r="L23" s="32" t="str">
        <f>_xlfn.XLOOKUP(K23,Table4[Contact Name],Table4[Email Address],,0)</f>
        <v>josh.smith@gmail.com</v>
      </c>
      <c r="N23" s="37" t="s">
        <v>82</v>
      </c>
      <c r="O23" s="38">
        <v>45</v>
      </c>
    </row>
    <row r="24" spans="6:15" ht="26.5" x14ac:dyDescent="0.65">
      <c r="F24" s="30" t="str">
        <v>P014</v>
      </c>
      <c r="G24" s="32" t="str">
        <f>_xlfn.XLOOKUP(DashBoard!F24,Table7[ProductID],Table7[Products],,0)</f>
        <v>Jelly Bean Jar</v>
      </c>
      <c r="J24" s="32" t="str">
        <f>_xlfn.XLOOKUP(DashBoard!F24,Table4[ProductID],Table4[Supplier],,0)</f>
        <v>Sweet Treats Co.</v>
      </c>
      <c r="K24" s="32" t="str">
        <f>_xlfn.XLOOKUP(DashBoard!J24,Table4[Supplier],Table4[Contact Name],,0)</f>
        <v>Miriam Adelson</v>
      </c>
      <c r="L24" s="32" t="str">
        <f>_xlfn.XLOOKUP(K24,Table4[Contact Name],Table4[Email Address],,0)</f>
        <v>miriam.adelson@gmail.com</v>
      </c>
      <c r="N24" s="37" t="s">
        <v>41</v>
      </c>
      <c r="O24" s="38">
        <v>49</v>
      </c>
    </row>
    <row r="25" spans="6:15" ht="26.5" x14ac:dyDescent="0.65">
      <c r="F25" s="30" t="str">
        <v>P015</v>
      </c>
      <c r="G25" s="32" t="str">
        <f>_xlfn.XLOOKUP(DashBoard!F25,Table7[ProductID],Table7[Products],,0)</f>
        <v>Magnetic Bookmark Set</v>
      </c>
      <c r="J25" s="32" t="str">
        <f>_xlfn.XLOOKUP(DashBoard!F25,Table4[ProductID],Table4[Supplier],,0)</f>
        <v>PaperWorks Supplies</v>
      </c>
      <c r="K25" s="32" t="str">
        <f>_xlfn.XLOOKUP(DashBoard!J25,Table4[Supplier],Table4[Contact Name],,0)</f>
        <v>Josh Smith</v>
      </c>
      <c r="L25" s="32" t="str">
        <f>_xlfn.XLOOKUP(K25,Table4[Contact Name],Table4[Email Address],,0)</f>
        <v>josh.smith@gmail.com</v>
      </c>
      <c r="N25" s="37" t="s">
        <v>29</v>
      </c>
      <c r="O25" s="38">
        <v>51</v>
      </c>
    </row>
    <row r="26" spans="6:15" ht="26.5" x14ac:dyDescent="0.65">
      <c r="F26" s="30" t="str">
        <v>P016</v>
      </c>
      <c r="G26" s="32" t="str">
        <f>_xlfn.XLOOKUP(DashBoard!F26,Table7[ProductID],Table7[Products],,0)</f>
        <v>Puzzle Cube Keychain</v>
      </c>
      <c r="J26" s="32" t="str">
        <f>_xlfn.XLOOKUP(DashBoard!F26,Table4[ProductID],Table4[Supplier],,0)</f>
        <v>FunZone Imports</v>
      </c>
      <c r="K26" s="32" t="str">
        <f>_xlfn.XLOOKUP(DashBoard!J26,Table4[Supplier],Table4[Contact Name],,0)</f>
        <v>Mikel Artena</v>
      </c>
      <c r="L26" s="32" t="str">
        <f>_xlfn.XLOOKUP(K26,Table4[Contact Name],Table4[Email Address],,0)</f>
        <v>mikel.artena@gmail.com</v>
      </c>
      <c r="N26" s="37" t="s">
        <v>48</v>
      </c>
      <c r="O26" s="38">
        <v>55</v>
      </c>
    </row>
    <row r="27" spans="6:15" ht="26.5" x14ac:dyDescent="0.65">
      <c r="F27" s="30" t="str">
        <v>P017</v>
      </c>
      <c r="G27" s="32" t="str">
        <f>_xlfn.XLOOKUP(DashBoard!F27,Table7[ProductID],Table7[Products],,0)</f>
        <v>Bamboo Cutlery Set</v>
      </c>
      <c r="J27" s="32" t="str">
        <f>_xlfn.XLOOKUP(DashBoard!F27,Table4[ProductID],Table4[Supplier],,0)</f>
        <v>EcoLiving Pty Ltd.</v>
      </c>
      <c r="K27" s="32" t="str">
        <f>_xlfn.XLOOKUP(DashBoard!J27,Table4[Supplier],Table4[Contact Name],,0)</f>
        <v>Josh Smith</v>
      </c>
      <c r="L27" s="32" t="str">
        <f>_xlfn.XLOOKUP(K27,Table4[Contact Name],Table4[Email Address],,0)</f>
        <v>josh.smith@gmail.com</v>
      </c>
      <c r="N27" s="37" t="s">
        <v>37</v>
      </c>
      <c r="O27" s="38">
        <v>71</v>
      </c>
    </row>
    <row r="28" spans="6:15" ht="26" x14ac:dyDescent="0.6">
      <c r="F28" s="30" t="str">
        <v>P018</v>
      </c>
      <c r="G28" s="32" t="str">
        <f>_xlfn.XLOOKUP(DashBoard!F28,Table7[ProductID],Table7[Products],,0)</f>
        <v>Comic-Themed Notebook</v>
      </c>
      <c r="J28" s="32" t="str">
        <f>_xlfn.XLOOKUP(DashBoard!F28,Table4[ProductID],Table4[Supplier],,0)</f>
        <v>PaperWorks Supplies</v>
      </c>
      <c r="K28" s="32" t="str">
        <f>_xlfn.XLOOKUP(DashBoard!J28,Table4[Supplier],Table4[Contact Name],,0)</f>
        <v>Josh Smith</v>
      </c>
      <c r="L28" s="32" t="str">
        <f>_xlfn.XLOOKUP(K28,Table4[Contact Name],Table4[Email Address],,0)</f>
        <v>josh.smith@gmail.com</v>
      </c>
      <c r="N28" s="26" t="s">
        <v>95</v>
      </c>
      <c r="O28" s="36">
        <v>431</v>
      </c>
    </row>
  </sheetData>
  <conditionalFormatting pivot="1" sqref="O8:O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83FC-1E45-4E83-97AA-B62843415616}">
  <dimension ref="F8:M28"/>
  <sheetViews>
    <sheetView zoomScale="60" zoomScaleNormal="60" workbookViewId="0"/>
  </sheetViews>
  <sheetFormatPr defaultRowHeight="14.5" x14ac:dyDescent="0.35"/>
  <cols>
    <col min="1" max="1" width="5.08984375" style="1" customWidth="1"/>
    <col min="2" max="4" width="8.7265625" style="1"/>
    <col min="5" max="5" width="3.36328125" style="1" customWidth="1"/>
    <col min="6" max="6" width="12.08984375" style="1" bestFit="1" customWidth="1"/>
    <col min="7" max="7" width="29.36328125" style="1" bestFit="1" customWidth="1"/>
    <col min="8" max="8" width="17.6328125" style="1" bestFit="1" customWidth="1"/>
    <col min="9" max="9" width="11.6328125" style="1" bestFit="1" customWidth="1"/>
    <col min="10" max="10" width="16.1796875" style="1" bestFit="1" customWidth="1"/>
    <col min="11" max="11" width="25.7265625" style="1" bestFit="1" customWidth="1"/>
    <col min="12" max="12" width="18" style="1" bestFit="1" customWidth="1"/>
    <col min="13" max="13" width="32.36328125" style="1" bestFit="1" customWidth="1"/>
    <col min="14" max="16384" width="8.7265625" style="1"/>
  </cols>
  <sheetData>
    <row r="8" spans="6:13" ht="43.5" customHeight="1" x14ac:dyDescent="0.35">
      <c r="F8" s="7" t="s">
        <v>22</v>
      </c>
      <c r="G8" s="7" t="s">
        <v>23</v>
      </c>
      <c r="H8" s="7" t="s">
        <v>24</v>
      </c>
      <c r="I8" s="7" t="s">
        <v>25</v>
      </c>
      <c r="J8" s="7" t="s">
        <v>26</v>
      </c>
      <c r="K8" s="7" t="s">
        <v>27</v>
      </c>
      <c r="L8" s="7" t="s">
        <v>19</v>
      </c>
      <c r="M8" s="7" t="s">
        <v>18</v>
      </c>
    </row>
    <row r="9" spans="6:13" ht="18.5" x14ac:dyDescent="0.45">
      <c r="F9" s="2" t="s">
        <v>28</v>
      </c>
      <c r="G9" s="2" t="s">
        <v>29</v>
      </c>
      <c r="H9" s="2" t="s">
        <v>30</v>
      </c>
      <c r="I9" s="3">
        <v>8</v>
      </c>
      <c r="J9" s="4">
        <v>20</v>
      </c>
      <c r="K9" s="2" t="s">
        <v>31</v>
      </c>
      <c r="L9" s="2" t="s">
        <v>13</v>
      </c>
      <c r="M9" s="2" t="s">
        <v>12</v>
      </c>
    </row>
    <row r="10" spans="6:13" ht="18.5" x14ac:dyDescent="0.45">
      <c r="F10" s="2" t="s">
        <v>32</v>
      </c>
      <c r="G10" s="2" t="s">
        <v>33</v>
      </c>
      <c r="H10" s="2" t="s">
        <v>34</v>
      </c>
      <c r="I10" s="3">
        <v>12</v>
      </c>
      <c r="J10" s="4">
        <v>15</v>
      </c>
      <c r="K10" s="2" t="s">
        <v>35</v>
      </c>
      <c r="L10" s="2" t="s">
        <v>17</v>
      </c>
      <c r="M10" s="2" t="s">
        <v>16</v>
      </c>
    </row>
    <row r="11" spans="6:13" ht="18.5" x14ac:dyDescent="0.45">
      <c r="F11" s="2" t="s">
        <v>36</v>
      </c>
      <c r="G11" s="2" t="s">
        <v>37</v>
      </c>
      <c r="H11" s="2" t="s">
        <v>38</v>
      </c>
      <c r="I11" s="3">
        <v>6</v>
      </c>
      <c r="J11" s="4">
        <v>10</v>
      </c>
      <c r="K11" s="2" t="s">
        <v>39</v>
      </c>
      <c r="L11" s="2" t="s">
        <v>11</v>
      </c>
      <c r="M11" s="2" t="s">
        <v>10</v>
      </c>
    </row>
    <row r="12" spans="6:13" ht="18.5" x14ac:dyDescent="0.45">
      <c r="F12" s="2" t="s">
        <v>40</v>
      </c>
      <c r="G12" s="2" t="s">
        <v>41</v>
      </c>
      <c r="H12" s="2" t="s">
        <v>34</v>
      </c>
      <c r="I12" s="3">
        <v>5</v>
      </c>
      <c r="J12" s="4">
        <v>25</v>
      </c>
      <c r="K12" s="2" t="s">
        <v>42</v>
      </c>
      <c r="L12" s="2" t="s">
        <v>15</v>
      </c>
      <c r="M12" s="2" t="s">
        <v>14</v>
      </c>
    </row>
    <row r="13" spans="6:13" ht="18.5" x14ac:dyDescent="0.45">
      <c r="F13" s="2" t="s">
        <v>43</v>
      </c>
      <c r="G13" s="2" t="s">
        <v>44</v>
      </c>
      <c r="H13" s="2" t="s">
        <v>45</v>
      </c>
      <c r="I13" s="3">
        <v>3</v>
      </c>
      <c r="J13" s="4">
        <v>30</v>
      </c>
      <c r="K13" s="2" t="s">
        <v>46</v>
      </c>
      <c r="L13" s="2" t="s">
        <v>13</v>
      </c>
      <c r="M13" s="2" t="s">
        <v>12</v>
      </c>
    </row>
    <row r="14" spans="6:13" ht="18.5" x14ac:dyDescent="0.45">
      <c r="F14" s="2" t="s">
        <v>47</v>
      </c>
      <c r="G14" s="2" t="s">
        <v>48</v>
      </c>
      <c r="H14" s="2" t="s">
        <v>38</v>
      </c>
      <c r="I14" s="3">
        <v>9</v>
      </c>
      <c r="J14" s="4">
        <v>12</v>
      </c>
      <c r="K14" s="2" t="s">
        <v>39</v>
      </c>
      <c r="L14" s="2" t="s">
        <v>13</v>
      </c>
      <c r="M14" s="2" t="s">
        <v>12</v>
      </c>
    </row>
    <row r="15" spans="6:13" ht="18.5" x14ac:dyDescent="0.45">
      <c r="F15" s="2" t="s">
        <v>49</v>
      </c>
      <c r="G15" s="2" t="s">
        <v>50</v>
      </c>
      <c r="H15" s="2" t="s">
        <v>51</v>
      </c>
      <c r="I15" s="3">
        <v>15</v>
      </c>
      <c r="J15" s="4">
        <v>20</v>
      </c>
      <c r="K15" s="2" t="s">
        <v>52</v>
      </c>
      <c r="L15" s="2" t="s">
        <v>13</v>
      </c>
      <c r="M15" s="2" t="s">
        <v>12</v>
      </c>
    </row>
    <row r="16" spans="6:13" ht="18.5" x14ac:dyDescent="0.45">
      <c r="F16" s="2" t="s">
        <v>53</v>
      </c>
      <c r="G16" s="2" t="s">
        <v>54</v>
      </c>
      <c r="H16" s="2" t="s">
        <v>34</v>
      </c>
      <c r="I16" s="3">
        <v>4</v>
      </c>
      <c r="J16" s="4">
        <v>25</v>
      </c>
      <c r="K16" s="2" t="s">
        <v>42</v>
      </c>
      <c r="L16" s="2" t="s">
        <v>11</v>
      </c>
      <c r="M16" s="2" t="s">
        <v>10</v>
      </c>
    </row>
    <row r="17" spans="6:13" ht="18.5" x14ac:dyDescent="0.45">
      <c r="F17" s="2" t="s">
        <v>55</v>
      </c>
      <c r="G17" s="2" t="s">
        <v>56</v>
      </c>
      <c r="H17" s="2" t="s">
        <v>51</v>
      </c>
      <c r="I17" s="3">
        <v>10</v>
      </c>
      <c r="J17" s="4">
        <v>8</v>
      </c>
      <c r="K17" s="2" t="s">
        <v>57</v>
      </c>
      <c r="L17" s="2" t="s">
        <v>11</v>
      </c>
      <c r="M17" s="2" t="s">
        <v>10</v>
      </c>
    </row>
    <row r="18" spans="6:13" ht="18.5" x14ac:dyDescent="0.45">
      <c r="F18" s="2" t="s">
        <v>58</v>
      </c>
      <c r="G18" s="2" t="s">
        <v>59</v>
      </c>
      <c r="H18" s="2" t="s">
        <v>51</v>
      </c>
      <c r="I18" s="3">
        <v>11</v>
      </c>
      <c r="J18" s="4">
        <v>10</v>
      </c>
      <c r="K18" s="2" t="s">
        <v>60</v>
      </c>
      <c r="L18" s="2" t="s">
        <v>11</v>
      </c>
      <c r="M18" s="2" t="s">
        <v>10</v>
      </c>
    </row>
    <row r="19" spans="6:13" ht="18.5" x14ac:dyDescent="0.45">
      <c r="F19" s="2" t="s">
        <v>61</v>
      </c>
      <c r="G19" s="2" t="s">
        <v>62</v>
      </c>
      <c r="H19" s="2" t="s">
        <v>51</v>
      </c>
      <c r="I19" s="3">
        <v>7</v>
      </c>
      <c r="J19" s="4">
        <v>18</v>
      </c>
      <c r="K19" s="2" t="s">
        <v>60</v>
      </c>
      <c r="L19" s="2" t="s">
        <v>9</v>
      </c>
      <c r="M19" s="2" t="s">
        <v>8</v>
      </c>
    </row>
    <row r="20" spans="6:13" ht="18.5" x14ac:dyDescent="0.45">
      <c r="F20" s="2" t="s">
        <v>63</v>
      </c>
      <c r="G20" s="2" t="s">
        <v>64</v>
      </c>
      <c r="H20" s="2" t="s">
        <v>51</v>
      </c>
      <c r="I20" s="3">
        <v>5</v>
      </c>
      <c r="J20" s="4">
        <v>15</v>
      </c>
      <c r="K20" s="2" t="s">
        <v>65</v>
      </c>
      <c r="L20" s="2" t="s">
        <v>5</v>
      </c>
      <c r="M20" s="2" t="s">
        <v>4</v>
      </c>
    </row>
    <row r="21" spans="6:13" ht="18.5" x14ac:dyDescent="0.45">
      <c r="F21" s="2" t="s">
        <v>66</v>
      </c>
      <c r="G21" s="2" t="s">
        <v>67</v>
      </c>
      <c r="H21" s="2" t="s">
        <v>30</v>
      </c>
      <c r="I21" s="3">
        <v>6</v>
      </c>
      <c r="J21" s="4">
        <v>20</v>
      </c>
      <c r="K21" s="2" t="s">
        <v>31</v>
      </c>
      <c r="L21" s="2" t="s">
        <v>7</v>
      </c>
      <c r="M21" s="2" t="s">
        <v>6</v>
      </c>
    </row>
    <row r="22" spans="6:13" ht="18.5" x14ac:dyDescent="0.45">
      <c r="F22" s="2" t="s">
        <v>68</v>
      </c>
      <c r="G22" s="2" t="s">
        <v>69</v>
      </c>
      <c r="H22" s="2" t="s">
        <v>34</v>
      </c>
      <c r="I22" s="3">
        <v>7</v>
      </c>
      <c r="J22" s="4">
        <v>12</v>
      </c>
      <c r="K22" s="2" t="s">
        <v>70</v>
      </c>
      <c r="L22" s="2" t="s">
        <v>5</v>
      </c>
      <c r="M22" s="2" t="s">
        <v>4</v>
      </c>
    </row>
    <row r="23" spans="6:13" ht="18.5" x14ac:dyDescent="0.45">
      <c r="F23" s="2" t="s">
        <v>71</v>
      </c>
      <c r="G23" s="2" t="s">
        <v>72</v>
      </c>
      <c r="H23" s="2" t="s">
        <v>45</v>
      </c>
      <c r="I23" s="3">
        <v>4</v>
      </c>
      <c r="J23" s="4">
        <v>15</v>
      </c>
      <c r="K23" s="2" t="s">
        <v>46</v>
      </c>
      <c r="L23" s="2" t="s">
        <v>5</v>
      </c>
      <c r="M23" s="2" t="s">
        <v>4</v>
      </c>
    </row>
    <row r="24" spans="6:13" ht="18.5" x14ac:dyDescent="0.45">
      <c r="F24" s="2" t="s">
        <v>73</v>
      </c>
      <c r="G24" s="2" t="s">
        <v>74</v>
      </c>
      <c r="H24" s="2" t="s">
        <v>38</v>
      </c>
      <c r="I24" s="3">
        <v>6</v>
      </c>
      <c r="J24" s="4">
        <v>10</v>
      </c>
      <c r="K24" s="2" t="s">
        <v>39</v>
      </c>
      <c r="L24" s="2" t="s">
        <v>5</v>
      </c>
      <c r="M24" s="2" t="s">
        <v>4</v>
      </c>
    </row>
    <row r="25" spans="6:13" ht="18.5" x14ac:dyDescent="0.45">
      <c r="F25" s="2" t="s">
        <v>75</v>
      </c>
      <c r="G25" s="2" t="s">
        <v>76</v>
      </c>
      <c r="H25" s="2" t="s">
        <v>51</v>
      </c>
      <c r="I25" s="3">
        <v>8</v>
      </c>
      <c r="J25" s="4">
        <v>12</v>
      </c>
      <c r="K25" s="2" t="s">
        <v>52</v>
      </c>
      <c r="L25" s="2" t="s">
        <v>5</v>
      </c>
      <c r="M25" s="2" t="s">
        <v>4</v>
      </c>
    </row>
    <row r="26" spans="6:13" ht="18.5" x14ac:dyDescent="0.45">
      <c r="F26" s="2" t="s">
        <v>77</v>
      </c>
      <c r="G26" s="2" t="s">
        <v>78</v>
      </c>
      <c r="H26" s="2" t="s">
        <v>45</v>
      </c>
      <c r="I26" s="3">
        <v>4</v>
      </c>
      <c r="J26" s="4">
        <v>20</v>
      </c>
      <c r="K26" s="2" t="s">
        <v>46</v>
      </c>
      <c r="L26" s="2" t="s">
        <v>1</v>
      </c>
      <c r="M26" s="2" t="s">
        <v>0</v>
      </c>
    </row>
    <row r="27" spans="6:13" ht="18.5" x14ac:dyDescent="0.45">
      <c r="F27" s="2" t="s">
        <v>79</v>
      </c>
      <c r="G27" s="2" t="s">
        <v>80</v>
      </c>
      <c r="H27" s="2" t="s">
        <v>34</v>
      </c>
      <c r="I27" s="3">
        <v>5</v>
      </c>
      <c r="J27" s="4">
        <v>25</v>
      </c>
      <c r="K27" s="2" t="s">
        <v>42</v>
      </c>
      <c r="L27" s="2" t="s">
        <v>3</v>
      </c>
      <c r="M27" s="2" t="s">
        <v>2</v>
      </c>
    </row>
    <row r="28" spans="6:13" ht="18.5" x14ac:dyDescent="0.45">
      <c r="F28" s="2" t="s">
        <v>81</v>
      </c>
      <c r="G28" s="2" t="s">
        <v>82</v>
      </c>
      <c r="H28" s="2" t="s">
        <v>38</v>
      </c>
      <c r="I28" s="3">
        <v>7</v>
      </c>
      <c r="J28" s="4">
        <v>10</v>
      </c>
      <c r="K28" s="2" t="s">
        <v>39</v>
      </c>
      <c r="L28" s="2" t="s">
        <v>1</v>
      </c>
      <c r="M28" s="2" t="s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56B7-6499-4E5D-B0E5-708BD7E188D5}">
  <dimension ref="F8:M28"/>
  <sheetViews>
    <sheetView zoomScale="50" zoomScaleNormal="50" workbookViewId="0"/>
  </sheetViews>
  <sheetFormatPr defaultRowHeight="14.5" x14ac:dyDescent="0.35"/>
  <cols>
    <col min="1" max="1" width="5.08984375" style="1" customWidth="1"/>
    <col min="2" max="4" width="8.7265625" style="1"/>
    <col min="5" max="5" width="3.36328125" style="1" customWidth="1"/>
    <col min="6" max="6" width="15.36328125" style="1" bestFit="1" customWidth="1"/>
    <col min="7" max="7" width="32.26953125" style="1" bestFit="1" customWidth="1"/>
    <col min="8" max="8" width="14.54296875" style="1" bestFit="1" customWidth="1"/>
    <col min="9" max="9" width="20.26953125" style="1" bestFit="1" customWidth="1"/>
    <col min="10" max="10" width="24.81640625" style="1" bestFit="1" customWidth="1"/>
    <col min="11" max="11" width="17.7265625" style="1" bestFit="1" customWidth="1"/>
    <col min="12" max="12" width="12.26953125" style="1" bestFit="1" customWidth="1"/>
    <col min="13" max="13" width="32.36328125" style="1" bestFit="1" customWidth="1"/>
    <col min="14" max="16384" width="8.7265625" style="1"/>
  </cols>
  <sheetData>
    <row r="8" spans="6:13" ht="43.5" customHeight="1" x14ac:dyDescent="0.35">
      <c r="F8" s="8" t="s">
        <v>22</v>
      </c>
      <c r="G8" s="8" t="s">
        <v>21</v>
      </c>
      <c r="H8" s="8" t="s">
        <v>25</v>
      </c>
      <c r="I8" s="8" t="s">
        <v>83</v>
      </c>
      <c r="J8" s="8" t="s">
        <v>84</v>
      </c>
      <c r="K8" s="8" t="s">
        <v>85</v>
      </c>
      <c r="L8" s="8" t="s">
        <v>20</v>
      </c>
      <c r="M8" s="5"/>
    </row>
    <row r="9" spans="6:13" ht="21" x14ac:dyDescent="0.5">
      <c r="F9" s="9" t="str">
        <f>Table4[[#This Row],[ProductID]]</f>
        <v>P001</v>
      </c>
      <c r="G9" s="9" t="str">
        <f>_xlfn.XLOOKUP(Table7[[#This Row],[ProductID]],Table4[ProductID],Table4[ProductName],"Not Found")</f>
        <v>Rainbow Socks</v>
      </c>
      <c r="H9" s="10">
        <f>_xlfn.XLOOKUP(Table7[[#This Row],[Products]],Table4[ProductName],Table4[Cost/Unit],"Not Found")</f>
        <v>8</v>
      </c>
      <c r="I9" s="9">
        <f>_xlfn.XLOOKUP(Table7[[#This Row],[Products]],Table4[ProductName],Table4[ReorderLevel],"Not Found")</f>
        <v>20</v>
      </c>
      <c r="J9" s="9">
        <f>IF(SUMIFS(Recieved!I8:I46,Recieved!H8:H46,Table7[[#This Row],[ProductID]])-SUMIFS(Table6[Quantity],Table6[ProductID],Table7[[#This Row],[ProductID]])&lt;0,0,SUMIFS(Recieved!I8:I46,Recieved!H8:H46,Table7[[#This Row],[ProductID]])-SUMIFS(Table6[Quantity],Table6[ProductID],Table7[[#This Row],[ProductID]]))</f>
        <v>51</v>
      </c>
      <c r="K9" s="10">
        <f>Table7[[#This Row],[Cost/Unit]]*Table7[[#This Row],[QuantityOnHand]]</f>
        <v>408</v>
      </c>
      <c r="L9" s="9" t="str">
        <f>IF(Table7[[#This Row],[QuantityOnHand]]&lt;Table7[[#This Row],[Reorder Level]],"YES","NO")</f>
        <v>NO</v>
      </c>
      <c r="M9" s="6"/>
    </row>
    <row r="10" spans="6:13" ht="21" x14ac:dyDescent="0.5">
      <c r="F10" s="9" t="str">
        <f>Table4[[#This Row],[ProductID]]</f>
        <v>P002</v>
      </c>
      <c r="G10" s="9" t="str">
        <f>_xlfn.XLOOKUP(Table7[[#This Row],[ProductID]],Table4[ProductID],Table4[ProductName],"Not Found")</f>
        <v>Bubble Tea Kit</v>
      </c>
      <c r="H10" s="10">
        <f>_xlfn.XLOOKUP(Table7[[#This Row],[Products]],Table4[ProductName],Table4[Cost/Unit],"Not Found")</f>
        <v>12</v>
      </c>
      <c r="I10" s="9">
        <f>_xlfn.XLOOKUP(Table7[[#This Row],[Products]],Table4[ProductName],Table4[ReorderLevel],"Not Found")</f>
        <v>15</v>
      </c>
      <c r="J10" s="9">
        <f>IF(SUMIFS(Recieved!I9:I47,Recieved!H9:H47,Table7[[#This Row],[ProductID]])-SUMIFS(Table6[Quantity],Table6[ProductID],Table7[[#This Row],[ProductID]])&lt;0,0,SUMIFS(Recieved!I9:I47,Recieved!H9:H47,Table7[[#This Row],[ProductID]])-SUMIFS(Table6[Quantity],Table6[ProductID],Table7[[#This Row],[ProductID]]))</f>
        <v>0</v>
      </c>
      <c r="K10" s="10">
        <f>Table7[[#This Row],[Cost/Unit]]*Table7[[#This Row],[QuantityOnHand]]</f>
        <v>0</v>
      </c>
      <c r="L10" s="9" t="str">
        <f>IF(Table7[[#This Row],[QuantityOnHand]]&lt;Table7[[#This Row],[Reorder Level]],"YES","NO")</f>
        <v>YES</v>
      </c>
      <c r="M10" s="6"/>
    </row>
    <row r="11" spans="6:13" ht="21" x14ac:dyDescent="0.5">
      <c r="F11" s="9" t="str">
        <f>Table4[[#This Row],[ProductID]]</f>
        <v>P003</v>
      </c>
      <c r="G11" s="9" t="str">
        <f>_xlfn.XLOOKUP(Table7[[#This Row],[ProductID]],Table4[ProductID],Table4[ProductName],"Not Found")</f>
        <v>LED Fidget Spinner</v>
      </c>
      <c r="H11" s="10">
        <f>_xlfn.XLOOKUP(Table7[[#This Row],[Products]],Table4[ProductName],Table4[Cost/Unit],"Not Found")</f>
        <v>6</v>
      </c>
      <c r="I11" s="9">
        <f>_xlfn.XLOOKUP(Table7[[#This Row],[Products]],Table4[ProductName],Table4[ReorderLevel],"Not Found")</f>
        <v>10</v>
      </c>
      <c r="J11" s="9">
        <f>IF(SUMIFS(Recieved!I10:I48,Recieved!H10:H48,Table7[[#This Row],[ProductID]])-SUMIFS(Table6[Quantity],Table6[ProductID],Table7[[#This Row],[ProductID]])&lt;0,0,SUMIFS(Recieved!I10:I48,Recieved!H10:H48,Table7[[#This Row],[ProductID]])-SUMIFS(Table6[Quantity],Table6[ProductID],Table7[[#This Row],[ProductID]]))</f>
        <v>71</v>
      </c>
      <c r="K11" s="10">
        <f>Table7[[#This Row],[Cost/Unit]]*Table7[[#This Row],[QuantityOnHand]]</f>
        <v>426</v>
      </c>
      <c r="L11" s="9" t="str">
        <f>IF(Table7[[#This Row],[QuantityOnHand]]&lt;Table7[[#This Row],[Reorder Level]],"YES","NO")</f>
        <v>NO</v>
      </c>
      <c r="M11" s="6"/>
    </row>
    <row r="12" spans="6:13" ht="21" x14ac:dyDescent="0.5">
      <c r="F12" s="9" t="str">
        <f>Table4[[#This Row],[ProductID]]</f>
        <v>P004</v>
      </c>
      <c r="G12" s="9" t="str">
        <f>_xlfn.XLOOKUP(Table7[[#This Row],[ProductID]],Table4[ProductID],Table4[ProductName],"Not Found")</f>
        <v>Gourmet Popcorn Pack</v>
      </c>
      <c r="H12" s="10">
        <f>_xlfn.XLOOKUP(Table7[[#This Row],[Products]],Table4[ProductName],Table4[Cost/Unit],"Not Found")</f>
        <v>5</v>
      </c>
      <c r="I12" s="9">
        <f>_xlfn.XLOOKUP(Table7[[#This Row],[Products]],Table4[ProductName],Table4[ReorderLevel],"Not Found")</f>
        <v>25</v>
      </c>
      <c r="J12" s="9">
        <f>IF(SUMIFS(Recieved!I11:I49,Recieved!H11:H49,Table7[[#This Row],[ProductID]])-SUMIFS(Table6[Quantity],Table6[ProductID],Table7[[#This Row],[ProductID]])&lt;0,0,SUMIFS(Recieved!I11:I49,Recieved!H11:H49,Table7[[#This Row],[ProductID]])-SUMIFS(Table6[Quantity],Table6[ProductID],Table7[[#This Row],[ProductID]]))</f>
        <v>49</v>
      </c>
      <c r="K12" s="10">
        <f>Table7[[#This Row],[Cost/Unit]]*Table7[[#This Row],[QuantityOnHand]]</f>
        <v>245</v>
      </c>
      <c r="L12" s="9" t="str">
        <f>IF(Table7[[#This Row],[QuantityOnHand]]&lt;Table7[[#This Row],[Reorder Level]],"YES","NO")</f>
        <v>NO</v>
      </c>
      <c r="M12" s="6"/>
    </row>
    <row r="13" spans="6:13" ht="21" x14ac:dyDescent="0.5">
      <c r="F13" s="9" t="str">
        <f>Table4[[#This Row],[ProductID]]</f>
        <v>P005</v>
      </c>
      <c r="G13" s="9" t="str">
        <f>_xlfn.XLOOKUP(Table7[[#This Row],[ProductID]],Table4[ProductID],Table4[ProductName],"Not Found")</f>
        <v>Pocket Notebook</v>
      </c>
      <c r="H13" s="10">
        <f>_xlfn.XLOOKUP(Table7[[#This Row],[Products]],Table4[ProductName],Table4[Cost/Unit],"Not Found")</f>
        <v>3</v>
      </c>
      <c r="I13" s="9">
        <f>_xlfn.XLOOKUP(Table7[[#This Row],[Products]],Table4[ProductName],Table4[ReorderLevel],"Not Found")</f>
        <v>30</v>
      </c>
      <c r="J13" s="9">
        <f>IF(SUMIFS(Recieved!I12:I50,Recieved!H12:H50,Table7[[#This Row],[ProductID]])-SUMIFS(Table6[Quantity],Table6[ProductID],Table7[[#This Row],[ProductID]])&lt;0,0,SUMIFS(Recieved!I12:I50,Recieved!H12:H50,Table7[[#This Row],[ProductID]])-SUMIFS(Table6[Quantity],Table6[ProductID],Table7[[#This Row],[ProductID]]))</f>
        <v>27</v>
      </c>
      <c r="K13" s="10">
        <f>Table7[[#This Row],[Cost/Unit]]*Table7[[#This Row],[QuantityOnHand]]</f>
        <v>81</v>
      </c>
      <c r="L13" s="9" t="str">
        <f>IF(Table7[[#This Row],[QuantityOnHand]]&lt;Table7[[#This Row],[Reorder Level]],"YES","NO")</f>
        <v>YES</v>
      </c>
      <c r="M13" s="6"/>
    </row>
    <row r="14" spans="6:13" ht="21" x14ac:dyDescent="0.5">
      <c r="F14" s="9" t="str">
        <f>Table4[[#This Row],[ProductID]]</f>
        <v>P006</v>
      </c>
      <c r="G14" s="9" t="str">
        <f>_xlfn.XLOOKUP(Table7[[#This Row],[ProductID]],Table4[ProductID],Table4[ProductName],"Not Found")</f>
        <v>Slime DIY Kit</v>
      </c>
      <c r="H14" s="10">
        <f>_xlfn.XLOOKUP(Table7[[#This Row],[Products]],Table4[ProductName],Table4[Cost/Unit],"Not Found")</f>
        <v>9</v>
      </c>
      <c r="I14" s="9">
        <f>_xlfn.XLOOKUP(Table7[[#This Row],[Products]],Table4[ProductName],Table4[ReorderLevel],"Not Found")</f>
        <v>12</v>
      </c>
      <c r="J14" s="9">
        <f>IF(SUMIFS(Recieved!I13:I51,Recieved!H13:H51,Table7[[#This Row],[ProductID]])-SUMIFS(Table6[Quantity],Table6[ProductID],Table7[[#This Row],[ProductID]])&lt;0,0,SUMIFS(Recieved!I13:I51,Recieved!H13:H51,Table7[[#This Row],[ProductID]])-SUMIFS(Table6[Quantity],Table6[ProductID],Table7[[#This Row],[ProductID]]))</f>
        <v>55</v>
      </c>
      <c r="K14" s="10">
        <f>Table7[[#This Row],[Cost/Unit]]*Table7[[#This Row],[QuantityOnHand]]</f>
        <v>495</v>
      </c>
      <c r="L14" s="9" t="str">
        <f>IF(Table7[[#This Row],[QuantityOnHand]]&lt;Table7[[#This Row],[Reorder Level]],"YES","NO")</f>
        <v>NO</v>
      </c>
      <c r="M14" s="6"/>
    </row>
    <row r="15" spans="6:13" ht="21" x14ac:dyDescent="0.5">
      <c r="F15" s="9" t="str">
        <f>Table4[[#This Row],[ProductID]]</f>
        <v>P007</v>
      </c>
      <c r="G15" s="9" t="str">
        <f>_xlfn.XLOOKUP(Table7[[#This Row],[ProductID]],Table4[ProductID],Table4[ProductName],"Not Found")</f>
        <v>Reusable Water Bottle</v>
      </c>
      <c r="H15" s="10">
        <f>_xlfn.XLOOKUP(Table7[[#This Row],[Products]],Table4[ProductName],Table4[Cost/Unit],"Not Found")</f>
        <v>15</v>
      </c>
      <c r="I15" s="9">
        <f>_xlfn.XLOOKUP(Table7[[#This Row],[Products]],Table4[ProductName],Table4[ReorderLevel],"Not Found")</f>
        <v>20</v>
      </c>
      <c r="J15" s="9">
        <f>IF(SUMIFS(Recieved!I14:I52,Recieved!H14:H52,Table7[[#This Row],[ProductID]])-SUMIFS(Table6[Quantity],Table6[ProductID],Table7[[#This Row],[ProductID]])&lt;0,0,SUMIFS(Recieved!I14:I52,Recieved!H14:H52,Table7[[#This Row],[ProductID]])-SUMIFS(Table6[Quantity],Table6[ProductID],Table7[[#This Row],[ProductID]]))</f>
        <v>24</v>
      </c>
      <c r="K15" s="10">
        <f>Table7[[#This Row],[Cost/Unit]]*Table7[[#This Row],[QuantityOnHand]]</f>
        <v>360</v>
      </c>
      <c r="L15" s="9" t="str">
        <f>IF(Table7[[#This Row],[QuantityOnHand]]&lt;Table7[[#This Row],[Reorder Level]],"YES","NO")</f>
        <v>NO</v>
      </c>
      <c r="M15" s="6"/>
    </row>
    <row r="16" spans="6:13" ht="21" x14ac:dyDescent="0.5">
      <c r="F16" s="9" t="str">
        <f>Table4[[#This Row],[ProductID]]</f>
        <v>P008</v>
      </c>
      <c r="G16" s="9" t="str">
        <f>_xlfn.XLOOKUP(Table7[[#This Row],[ProductID]],Table4[ProductID],Table4[ProductName],"Not Found")</f>
        <v>Chocolate Pretzel Mix</v>
      </c>
      <c r="H16" s="10">
        <f>_xlfn.XLOOKUP(Table7[[#This Row],[Products]],Table4[ProductName],Table4[Cost/Unit],"Not Found")</f>
        <v>4</v>
      </c>
      <c r="I16" s="9">
        <f>_xlfn.XLOOKUP(Table7[[#This Row],[Products]],Table4[ProductName],Table4[ReorderLevel],"Not Found")</f>
        <v>25</v>
      </c>
      <c r="J16" s="9">
        <f>IF(SUMIFS(Recieved!I15:I53,Recieved!H15:H53,Table7[[#This Row],[ProductID]])-SUMIFS(Table6[Quantity],Table6[ProductID],Table7[[#This Row],[ProductID]])&lt;0,0,SUMIFS(Recieved!I15:I53,Recieved!H15:H53,Table7[[#This Row],[ProductID]])-SUMIFS(Table6[Quantity],Table6[ProductID],Table7[[#This Row],[ProductID]]))</f>
        <v>28</v>
      </c>
      <c r="K16" s="10">
        <f>Table7[[#This Row],[Cost/Unit]]*Table7[[#This Row],[QuantityOnHand]]</f>
        <v>112</v>
      </c>
      <c r="L16" s="9" t="str">
        <f>IF(Table7[[#This Row],[QuantityOnHand]]&lt;Table7[[#This Row],[Reorder Level]],"YES","NO")</f>
        <v>NO</v>
      </c>
      <c r="M16" s="6"/>
    </row>
    <row r="17" spans="6:13" ht="21" x14ac:dyDescent="0.5">
      <c r="F17" s="9" t="str">
        <f>Table4[[#This Row],[ProductID]]</f>
        <v>P009</v>
      </c>
      <c r="G17" s="9" t="str">
        <f>_xlfn.XLOOKUP(Table7[[#This Row],[ProductID]],Table4[ProductID],Table4[ProductName],"Not Found")</f>
        <v>Mini Desk Plant</v>
      </c>
      <c r="H17" s="10">
        <f>_xlfn.XLOOKUP(Table7[[#This Row],[Products]],Table4[ProductName],Table4[Cost/Unit],"Not Found")</f>
        <v>10</v>
      </c>
      <c r="I17" s="9">
        <f>_xlfn.XLOOKUP(Table7[[#This Row],[Products]],Table4[ProductName],Table4[ReorderLevel],"Not Found")</f>
        <v>8</v>
      </c>
      <c r="J17" s="9">
        <f>IF(SUMIFS(Recieved!I16:I54,Recieved!H16:H54,Table7[[#This Row],[ProductID]])-SUMIFS(Table6[Quantity],Table6[ProductID],Table7[[#This Row],[ProductID]])&lt;0,0,SUMIFS(Recieved!I16:I54,Recieved!H16:H54,Table7[[#This Row],[ProductID]])-SUMIFS(Table6[Quantity],Table6[ProductID],Table7[[#This Row],[ProductID]]))</f>
        <v>7</v>
      </c>
      <c r="K17" s="10">
        <f>Table7[[#This Row],[Cost/Unit]]*Table7[[#This Row],[QuantityOnHand]]</f>
        <v>70</v>
      </c>
      <c r="L17" s="9" t="str">
        <f>IF(Table7[[#This Row],[QuantityOnHand]]&lt;Table7[[#This Row],[Reorder Level]],"YES","NO")</f>
        <v>YES</v>
      </c>
      <c r="M17" s="6"/>
    </row>
    <row r="18" spans="6:13" ht="21" x14ac:dyDescent="0.5">
      <c r="F18" s="9" t="str">
        <f>Table4[[#This Row],[ProductID]]</f>
        <v>P010</v>
      </c>
      <c r="G18" s="9" t="str">
        <f>_xlfn.XLOOKUP(Table7[[#This Row],[ProductID]],Table4[ProductID],Table4[ProductName],"Not Found")</f>
        <v>Glow-in-the-Dark Mug</v>
      </c>
      <c r="H18" s="10">
        <f>_xlfn.XLOOKUP(Table7[[#This Row],[Products]],Table4[ProductName],Table4[Cost/Unit],"Not Found")</f>
        <v>11</v>
      </c>
      <c r="I18" s="9">
        <f>_xlfn.XLOOKUP(Table7[[#This Row],[Products]],Table4[ProductName],Table4[ReorderLevel],"Not Found")</f>
        <v>10</v>
      </c>
      <c r="J18" s="9">
        <f>IF(SUMIFS(Recieved!I17:I55,Recieved!H17:H55,Table7[[#This Row],[ProductID]])-SUMIFS(Table6[Quantity],Table6[ProductID],Table7[[#This Row],[ProductID]])&lt;0,0,SUMIFS(Recieved!I17:I55,Recieved!H17:H55,Table7[[#This Row],[ProductID]])-SUMIFS(Table6[Quantity],Table6[ProductID],Table7[[#This Row],[ProductID]]))</f>
        <v>0</v>
      </c>
      <c r="K18" s="10">
        <f>Table7[[#This Row],[Cost/Unit]]*Table7[[#This Row],[QuantityOnHand]]</f>
        <v>0</v>
      </c>
      <c r="L18" s="9" t="str">
        <f>IF(Table7[[#This Row],[QuantityOnHand]]&lt;Table7[[#This Row],[Reorder Level]],"YES","NO")</f>
        <v>YES</v>
      </c>
      <c r="M18" s="6"/>
    </row>
    <row r="19" spans="6:13" ht="21" x14ac:dyDescent="0.5">
      <c r="F19" s="9" t="str">
        <f>Table4[[#This Row],[ProductID]]</f>
        <v>P011</v>
      </c>
      <c r="G19" s="9" t="str">
        <f>_xlfn.XLOOKUP(Table7[[#This Row],[ProductID]],Table4[ProductID],Table4[ProductName],"Not Found")</f>
        <v>Scented Candle Tin</v>
      </c>
      <c r="H19" s="10">
        <f>_xlfn.XLOOKUP(Table7[[#This Row],[Products]],Table4[ProductName],Table4[Cost/Unit],"Not Found")</f>
        <v>7</v>
      </c>
      <c r="I19" s="9">
        <f>_xlfn.XLOOKUP(Table7[[#This Row],[Products]],Table4[ProductName],Table4[ReorderLevel],"Not Found")</f>
        <v>18</v>
      </c>
      <c r="J19" s="9">
        <f>IF(SUMIFS(Recieved!I18:I56,Recieved!H18:H56,Table7[[#This Row],[ProductID]])-SUMIFS(Table6[Quantity],Table6[ProductID],Table7[[#This Row],[ProductID]])&lt;0,0,SUMIFS(Recieved!I18:I56,Recieved!H18:H56,Table7[[#This Row],[ProductID]])-SUMIFS(Table6[Quantity],Table6[ProductID],Table7[[#This Row],[ProductID]]))</f>
        <v>18</v>
      </c>
      <c r="K19" s="10">
        <f>Table7[[#This Row],[Cost/Unit]]*Table7[[#This Row],[QuantityOnHand]]</f>
        <v>126</v>
      </c>
      <c r="L19" s="9" t="str">
        <f>IF(Table7[[#This Row],[QuantityOnHand]]&lt;Table7[[#This Row],[Reorder Level]],"YES","NO")</f>
        <v>NO</v>
      </c>
      <c r="M19" s="6"/>
    </row>
    <row r="20" spans="6:13" ht="21" x14ac:dyDescent="0.5">
      <c r="F20" s="9" t="str">
        <f>Table4[[#This Row],[ProductID]]</f>
        <v>P012</v>
      </c>
      <c r="G20" s="9" t="str">
        <f>_xlfn.XLOOKUP(Table7[[#This Row],[ProductID]],Table4[ProductID],Table4[ProductName],"Not Found")</f>
        <v>Travel Card Holder</v>
      </c>
      <c r="H20" s="10">
        <f>_xlfn.XLOOKUP(Table7[[#This Row],[Products]],Table4[ProductName],Table4[Cost/Unit],"Not Found")</f>
        <v>5</v>
      </c>
      <c r="I20" s="9">
        <f>_xlfn.XLOOKUP(Table7[[#This Row],[Products]],Table4[ProductName],Table4[ReorderLevel],"Not Found")</f>
        <v>15</v>
      </c>
      <c r="J20" s="9">
        <f>IF(SUMIFS(Recieved!I19:I57,Recieved!H19:H57,Table7[[#This Row],[ProductID]])-SUMIFS(Table6[Quantity],Table6[ProductID],Table7[[#This Row],[ProductID]])&lt;0,0,SUMIFS(Recieved!I19:I57,Recieved!H19:H57,Table7[[#This Row],[ProductID]])-SUMIFS(Table6[Quantity],Table6[ProductID],Table7[[#This Row],[ProductID]]))</f>
        <v>0</v>
      </c>
      <c r="K20" s="10">
        <f>Table7[[#This Row],[Cost/Unit]]*Table7[[#This Row],[QuantityOnHand]]</f>
        <v>0</v>
      </c>
      <c r="L20" s="9" t="str">
        <f>IF(Table7[[#This Row],[QuantityOnHand]]&lt;Table7[[#This Row],[Reorder Level]],"YES","NO")</f>
        <v>YES</v>
      </c>
      <c r="M20" s="6"/>
    </row>
    <row r="21" spans="6:13" ht="21" x14ac:dyDescent="0.5">
      <c r="F21" s="9" t="str">
        <f>Table4[[#This Row],[ProductID]]</f>
        <v>P013</v>
      </c>
      <c r="G21" s="9" t="str">
        <f>_xlfn.XLOOKUP(Table7[[#This Row],[ProductID]],Table4[ProductID],Table4[ProductName],"Not Found")</f>
        <v>Cotton Tote Bag</v>
      </c>
      <c r="H21" s="10">
        <f>_xlfn.XLOOKUP(Table7[[#This Row],[Products]],Table4[ProductName],Table4[Cost/Unit],"Not Found")</f>
        <v>6</v>
      </c>
      <c r="I21" s="9">
        <f>_xlfn.XLOOKUP(Table7[[#This Row],[Products]],Table4[ProductName],Table4[ReorderLevel],"Not Found")</f>
        <v>20</v>
      </c>
      <c r="J21" s="9">
        <f>IF(SUMIFS(Recieved!I20:I58,Recieved!H20:H58,Table7[[#This Row],[ProductID]])-SUMIFS(Table6[Quantity],Table6[ProductID],Table7[[#This Row],[ProductID]])&lt;0,0,SUMIFS(Recieved!I20:I58,Recieved!H20:H58,Table7[[#This Row],[ProductID]])-SUMIFS(Table6[Quantity],Table6[ProductID],Table7[[#This Row],[ProductID]]))</f>
        <v>0</v>
      </c>
      <c r="K21" s="10">
        <f>Table7[[#This Row],[Cost/Unit]]*Table7[[#This Row],[QuantityOnHand]]</f>
        <v>0</v>
      </c>
      <c r="L21" s="9" t="str">
        <f>IF(Table7[[#This Row],[QuantityOnHand]]&lt;Table7[[#This Row],[Reorder Level]],"YES","NO")</f>
        <v>YES</v>
      </c>
      <c r="M21" s="6"/>
    </row>
    <row r="22" spans="6:13" ht="21" x14ac:dyDescent="0.5">
      <c r="F22" s="9" t="str">
        <f>Table4[[#This Row],[ProductID]]</f>
        <v>P014</v>
      </c>
      <c r="G22" s="9" t="str">
        <f>_xlfn.XLOOKUP(Table7[[#This Row],[ProductID]],Table4[ProductID],Table4[ProductName],"Not Found")</f>
        <v>Jelly Bean Jar</v>
      </c>
      <c r="H22" s="10">
        <f>_xlfn.XLOOKUP(Table7[[#This Row],[Products]],Table4[ProductName],Table4[Cost/Unit],"Not Found")</f>
        <v>7</v>
      </c>
      <c r="I22" s="9">
        <f>_xlfn.XLOOKUP(Table7[[#This Row],[Products]],Table4[ProductName],Table4[ReorderLevel],"Not Found")</f>
        <v>12</v>
      </c>
      <c r="J22" s="9">
        <f>IF(SUMIFS(Recieved!I21:I59,Recieved!H21:H59,Table7[[#This Row],[ProductID]])-SUMIFS(Table6[Quantity],Table6[ProductID],Table7[[#This Row],[ProductID]])&lt;0,0,SUMIFS(Recieved!I21:I59,Recieved!H21:H59,Table7[[#This Row],[ProductID]])-SUMIFS(Table6[Quantity],Table6[ProductID],Table7[[#This Row],[ProductID]]))</f>
        <v>7</v>
      </c>
      <c r="K22" s="10">
        <f>Table7[[#This Row],[Cost/Unit]]*Table7[[#This Row],[QuantityOnHand]]</f>
        <v>49</v>
      </c>
      <c r="L22" s="9" t="str">
        <f>IF(Table7[[#This Row],[QuantityOnHand]]&lt;Table7[[#This Row],[Reorder Level]],"YES","NO")</f>
        <v>YES</v>
      </c>
      <c r="M22" s="6"/>
    </row>
    <row r="23" spans="6:13" ht="21" x14ac:dyDescent="0.5">
      <c r="F23" s="9" t="str">
        <f>Table4[[#This Row],[ProductID]]</f>
        <v>P015</v>
      </c>
      <c r="G23" s="9" t="str">
        <f>_xlfn.XLOOKUP(Table7[[#This Row],[ProductID]],Table4[ProductID],Table4[ProductName],"Not Found")</f>
        <v>Magnetic Bookmark Set</v>
      </c>
      <c r="H23" s="10">
        <f>_xlfn.XLOOKUP(Table7[[#This Row],[Products]],Table4[ProductName],Table4[Cost/Unit],"Not Found")</f>
        <v>4</v>
      </c>
      <c r="I23" s="9">
        <f>_xlfn.XLOOKUP(Table7[[#This Row],[Products]],Table4[ProductName],Table4[ReorderLevel],"Not Found")</f>
        <v>15</v>
      </c>
      <c r="J23" s="9">
        <f>IF(SUMIFS(Recieved!I22:I60,Recieved!H22:H60,Table7[[#This Row],[ProductID]])-SUMIFS(Table6[Quantity],Table6[ProductID],Table7[[#This Row],[ProductID]])&lt;0,0,SUMIFS(Recieved!I22:I60,Recieved!H22:H60,Table7[[#This Row],[ProductID]])-SUMIFS(Table6[Quantity],Table6[ProductID],Table7[[#This Row],[ProductID]]))</f>
        <v>0</v>
      </c>
      <c r="K23" s="10">
        <f>Table7[[#This Row],[Cost/Unit]]*Table7[[#This Row],[QuantityOnHand]]</f>
        <v>0</v>
      </c>
      <c r="L23" s="9" t="str">
        <f>IF(Table7[[#This Row],[QuantityOnHand]]&lt;Table7[[#This Row],[Reorder Level]],"YES","NO")</f>
        <v>YES</v>
      </c>
      <c r="M23" s="6"/>
    </row>
    <row r="24" spans="6:13" ht="21" x14ac:dyDescent="0.5">
      <c r="F24" s="9" t="str">
        <f>Table4[[#This Row],[ProductID]]</f>
        <v>P016</v>
      </c>
      <c r="G24" s="9" t="str">
        <f>_xlfn.XLOOKUP(Table7[[#This Row],[ProductID]],Table4[ProductID],Table4[ProductName],"Not Found")</f>
        <v>Puzzle Cube Keychain</v>
      </c>
      <c r="H24" s="10">
        <f>_xlfn.XLOOKUP(Table7[[#This Row],[Products]],Table4[ProductName],Table4[Cost/Unit],"Not Found")</f>
        <v>6</v>
      </c>
      <c r="I24" s="9">
        <f>_xlfn.XLOOKUP(Table7[[#This Row],[Products]],Table4[ProductName],Table4[ReorderLevel],"Not Found")</f>
        <v>10</v>
      </c>
      <c r="J24" s="9">
        <f>IF(SUMIFS(Recieved!I23:I61,Recieved!H23:H61,Table7[[#This Row],[ProductID]])-SUMIFS(Table6[Quantity],Table6[ProductID],Table7[[#This Row],[ProductID]])&lt;0,0,SUMIFS(Recieved!I23:I61,Recieved!H23:H61,Table7[[#This Row],[ProductID]])-SUMIFS(Table6[Quantity],Table6[ProductID],Table7[[#This Row],[ProductID]]))</f>
        <v>0</v>
      </c>
      <c r="K24" s="10">
        <f>Table7[[#This Row],[Cost/Unit]]*Table7[[#This Row],[QuantityOnHand]]</f>
        <v>0</v>
      </c>
      <c r="L24" s="9" t="str">
        <f>IF(Table7[[#This Row],[QuantityOnHand]]&lt;Table7[[#This Row],[Reorder Level]],"YES","NO")</f>
        <v>YES</v>
      </c>
      <c r="M24" s="6"/>
    </row>
    <row r="25" spans="6:13" ht="21" x14ac:dyDescent="0.5">
      <c r="F25" s="9" t="str">
        <f>Table4[[#This Row],[ProductID]]</f>
        <v>P017</v>
      </c>
      <c r="G25" s="9" t="str">
        <f>_xlfn.XLOOKUP(Table7[[#This Row],[ProductID]],Table4[ProductID],Table4[ProductName],"Not Found")</f>
        <v>Bamboo Cutlery Set</v>
      </c>
      <c r="H25" s="10">
        <f>_xlfn.XLOOKUP(Table7[[#This Row],[Products]],Table4[ProductName],Table4[Cost/Unit],"Not Found")</f>
        <v>8</v>
      </c>
      <c r="I25" s="9">
        <f>_xlfn.XLOOKUP(Table7[[#This Row],[Products]],Table4[ProductName],Table4[ReorderLevel],"Not Found")</f>
        <v>12</v>
      </c>
      <c r="J25" s="9">
        <f>IF(SUMIFS(Recieved!I24:I62,Recieved!H24:H62,Table7[[#This Row],[ProductID]])-SUMIFS(Table6[Quantity],Table6[ProductID],Table7[[#This Row],[ProductID]])&lt;0,0,SUMIFS(Recieved!I24:I62,Recieved!H24:H62,Table7[[#This Row],[ProductID]])-SUMIFS(Table6[Quantity],Table6[ProductID],Table7[[#This Row],[ProductID]]))</f>
        <v>6</v>
      </c>
      <c r="K25" s="10">
        <f>Table7[[#This Row],[Cost/Unit]]*Table7[[#This Row],[QuantityOnHand]]</f>
        <v>48</v>
      </c>
      <c r="L25" s="9" t="str">
        <f>IF(Table7[[#This Row],[QuantityOnHand]]&lt;Table7[[#This Row],[Reorder Level]],"YES","NO")</f>
        <v>YES</v>
      </c>
      <c r="M25" s="6"/>
    </row>
    <row r="26" spans="6:13" ht="21" x14ac:dyDescent="0.5">
      <c r="F26" s="9" t="str">
        <f>Table4[[#This Row],[ProductID]]</f>
        <v>P018</v>
      </c>
      <c r="G26" s="9" t="str">
        <f>_xlfn.XLOOKUP(Table7[[#This Row],[ProductID]],Table4[ProductID],Table4[ProductName],"Not Found")</f>
        <v>Comic-Themed Notebook</v>
      </c>
      <c r="H26" s="10">
        <f>_xlfn.XLOOKUP(Table7[[#This Row],[Products]],Table4[ProductName],Table4[Cost/Unit],"Not Found")</f>
        <v>4</v>
      </c>
      <c r="I26" s="9">
        <f>_xlfn.XLOOKUP(Table7[[#This Row],[Products]],Table4[ProductName],Table4[ReorderLevel],"Not Found")</f>
        <v>20</v>
      </c>
      <c r="J26" s="9">
        <f>IF(SUMIFS(Recieved!I25:I63,Recieved!H25:H63,Table7[[#This Row],[ProductID]])-SUMIFS(Table6[Quantity],Table6[ProductID],Table7[[#This Row],[ProductID]])&lt;0,0,SUMIFS(Recieved!I25:I63,Recieved!H25:H63,Table7[[#This Row],[ProductID]])-SUMIFS(Table6[Quantity],Table6[ProductID],Table7[[#This Row],[ProductID]]))</f>
        <v>8</v>
      </c>
      <c r="K26" s="10">
        <f>Table7[[#This Row],[Cost/Unit]]*Table7[[#This Row],[QuantityOnHand]]</f>
        <v>32</v>
      </c>
      <c r="L26" s="9" t="str">
        <f>IF(Table7[[#This Row],[QuantityOnHand]]&lt;Table7[[#This Row],[Reorder Level]],"YES","NO")</f>
        <v>YES</v>
      </c>
      <c r="M26" s="6"/>
    </row>
    <row r="27" spans="6:13" ht="21" x14ac:dyDescent="0.5">
      <c r="F27" s="9" t="str">
        <f>Table4[[#This Row],[ProductID]]</f>
        <v>P019</v>
      </c>
      <c r="G27" s="9" t="str">
        <f>_xlfn.XLOOKUP(Table7[[#This Row],[ProductID]],Table4[ProductID],Table4[ProductName],"Not Found")</f>
        <v>Spicy Snack Mix</v>
      </c>
      <c r="H27" s="10">
        <f>_xlfn.XLOOKUP(Table7[[#This Row],[Products]],Table4[ProductName],Table4[Cost/Unit],"Not Found")</f>
        <v>5</v>
      </c>
      <c r="I27" s="9">
        <f>_xlfn.XLOOKUP(Table7[[#This Row],[Products]],Table4[ProductName],Table4[ReorderLevel],"Not Found")</f>
        <v>25</v>
      </c>
      <c r="J27" s="9">
        <f>IF(SUMIFS(Recieved!I26:I64,Recieved!H26:H64,Table7[[#This Row],[ProductID]])-SUMIFS(Table6[Quantity],Table6[ProductID],Table7[[#This Row],[ProductID]])&lt;0,0,SUMIFS(Recieved!I26:I64,Recieved!H26:H64,Table7[[#This Row],[ProductID]])-SUMIFS(Table6[Quantity],Table6[ProductID],Table7[[#This Row],[ProductID]]))</f>
        <v>35</v>
      </c>
      <c r="K27" s="10">
        <f>Table7[[#This Row],[Cost/Unit]]*Table7[[#This Row],[QuantityOnHand]]</f>
        <v>175</v>
      </c>
      <c r="L27" s="9" t="str">
        <f>IF(Table7[[#This Row],[QuantityOnHand]]&lt;Table7[[#This Row],[Reorder Level]],"YES","NO")</f>
        <v>NO</v>
      </c>
      <c r="M27" s="6"/>
    </row>
    <row r="28" spans="6:13" ht="21" x14ac:dyDescent="0.5">
      <c r="F28" s="9" t="str">
        <f>Table4[[#This Row],[ProductID]]</f>
        <v>P020</v>
      </c>
      <c r="G28" s="9" t="str">
        <f>_xlfn.XLOOKUP(Table7[[#This Row],[ProductID]],Table4[ProductID],Table4[ProductName],"Not Found")</f>
        <v>Retro Arcade Keyring</v>
      </c>
      <c r="H28" s="10">
        <f>_xlfn.XLOOKUP(Table7[[#This Row],[Products]],Table4[ProductName],Table4[Cost/Unit],"Not Found")</f>
        <v>7</v>
      </c>
      <c r="I28" s="9">
        <f>_xlfn.XLOOKUP(Table7[[#This Row],[Products]],Table4[ProductName],Table4[ReorderLevel],"Not Found")</f>
        <v>10</v>
      </c>
      <c r="J28" s="9">
        <f>IF(SUMIFS(Recieved!I27:I65,Recieved!H27:H65,Table7[[#This Row],[ProductID]])-SUMIFS(Table6[Quantity],Table6[ProductID],Table7[[#This Row],[ProductID]])&lt;0,0,SUMIFS(Recieved!I27:I65,Recieved!H27:H65,Table7[[#This Row],[ProductID]])-SUMIFS(Table6[Quantity],Table6[ProductID],Table7[[#This Row],[ProductID]]))</f>
        <v>45</v>
      </c>
      <c r="K28" s="10">
        <f>Table7[[#This Row],[Cost/Unit]]*Table7[[#This Row],[QuantityOnHand]]</f>
        <v>315</v>
      </c>
      <c r="L28" s="9" t="str">
        <f>IF(Table7[[#This Row],[QuantityOnHand]]&lt;Table7[[#This Row],[Reorder Level]],"YES","NO")</f>
        <v>NO</v>
      </c>
      <c r="M28" s="6"/>
    </row>
  </sheetData>
  <phoneticPr fontId="2" type="noConversion"/>
  <conditionalFormatting sqref="L9:L28">
    <cfRule type="containsText" dxfId="17" priority="1" operator="containsText" text="YES">
      <formula>NOT(ISERROR(SEARCH("YES",L9)))</formula>
    </cfRule>
    <cfRule type="containsText" dxfId="16" priority="2" operator="containsText" text="NO">
      <formula>NOT(ISERROR(SEARCH("NO",L9)))</formula>
    </cfRule>
  </conditionalFormatting>
  <pageMargins left="0.7" right="0.7" top="0.75" bottom="0.75" header="0.3" footer="0.3"/>
  <ignoredErrors>
    <ignoredError sqref="J11:J12" formulaRange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2C2F-81F9-4550-AD69-969C9D1A3293}">
  <dimension ref="F8:M47"/>
  <sheetViews>
    <sheetView zoomScale="45" workbookViewId="0"/>
  </sheetViews>
  <sheetFormatPr defaultRowHeight="14.5" x14ac:dyDescent="0.35"/>
  <cols>
    <col min="1" max="1" width="5.08984375" style="1" customWidth="1"/>
    <col min="2" max="4" width="8.7265625" style="1"/>
    <col min="5" max="5" width="3.36328125" style="1" customWidth="1"/>
    <col min="6" max="6" width="32.26953125" style="1" bestFit="1" customWidth="1"/>
    <col min="7" max="7" width="32.26953125" style="1" customWidth="1"/>
    <col min="8" max="8" width="19.7265625" style="1" bestFit="1" customWidth="1"/>
    <col min="9" max="9" width="20.26953125" style="1" bestFit="1" customWidth="1"/>
    <col min="10" max="10" width="24.81640625" style="1" bestFit="1" customWidth="1"/>
    <col min="11" max="11" width="17.7265625" style="1" bestFit="1" customWidth="1"/>
    <col min="12" max="12" width="12.26953125" style="1" bestFit="1" customWidth="1"/>
    <col min="13" max="13" width="32.36328125" style="1" bestFit="1" customWidth="1"/>
    <col min="14" max="16384" width="8.7265625" style="1"/>
  </cols>
  <sheetData>
    <row r="8" spans="6:13" ht="43.5" customHeight="1" x14ac:dyDescent="0.35">
      <c r="F8" s="15" t="s">
        <v>23</v>
      </c>
      <c r="G8" s="16" t="s">
        <v>89</v>
      </c>
      <c r="H8" s="16" t="s">
        <v>22</v>
      </c>
      <c r="I8" s="16" t="s">
        <v>86</v>
      </c>
      <c r="J8" s="17" t="s">
        <v>87</v>
      </c>
      <c r="K8" s="11"/>
      <c r="L8" s="11"/>
      <c r="M8" s="5"/>
    </row>
    <row r="9" spans="6:13" ht="21" x14ac:dyDescent="0.5">
      <c r="F9" s="18" t="s">
        <v>59</v>
      </c>
      <c r="G9" s="19">
        <v>45900</v>
      </c>
      <c r="H9" s="20" t="str">
        <f>_xlfn.XLOOKUP(Recieved!F9,Table4[ProductName],Table4[ProductID],"Item Not Found",0)</f>
        <v>P010</v>
      </c>
      <c r="I9" s="20">
        <v>43</v>
      </c>
      <c r="J9" s="21" t="s">
        <v>88</v>
      </c>
      <c r="K9" s="13"/>
      <c r="L9" s="12"/>
      <c r="M9" s="6"/>
    </row>
    <row r="10" spans="6:13" ht="21" x14ac:dyDescent="0.5">
      <c r="F10" s="18" t="s">
        <v>29</v>
      </c>
      <c r="G10" s="19">
        <v>45900</v>
      </c>
      <c r="H10" s="20" t="str">
        <f>_xlfn.XLOOKUP(Recieved!F10,Table4[ProductName],Table4[ProductID],"Item Not Found",0)</f>
        <v>P001</v>
      </c>
      <c r="I10" s="20">
        <v>46</v>
      </c>
      <c r="J10" s="21" t="s">
        <v>88</v>
      </c>
      <c r="K10" s="13"/>
      <c r="L10" s="12"/>
      <c r="M10" s="6"/>
    </row>
    <row r="11" spans="6:13" ht="21" x14ac:dyDescent="0.5">
      <c r="F11" s="18" t="s">
        <v>72</v>
      </c>
      <c r="G11" s="19">
        <v>45900</v>
      </c>
      <c r="H11" s="20" t="str">
        <f>_xlfn.XLOOKUP(Recieved!F11,Table4[ProductName],Table4[ProductID],"Item Not Found",0)</f>
        <v>P015</v>
      </c>
      <c r="I11" s="20">
        <v>41</v>
      </c>
      <c r="J11" s="21" t="s">
        <v>88</v>
      </c>
      <c r="K11" s="13"/>
      <c r="L11" s="12"/>
      <c r="M11" s="6"/>
    </row>
    <row r="12" spans="6:13" ht="21" x14ac:dyDescent="0.5">
      <c r="F12" s="18" t="s">
        <v>56</v>
      </c>
      <c r="G12" s="19">
        <v>45900</v>
      </c>
      <c r="H12" s="20" t="str">
        <f>_xlfn.XLOOKUP(Recieved!F12,Table4[ProductName],Table4[ProductID],"Item Not Found",0)</f>
        <v>P009</v>
      </c>
      <c r="I12" s="20">
        <v>26</v>
      </c>
      <c r="J12" s="21" t="s">
        <v>88</v>
      </c>
      <c r="K12" s="13"/>
      <c r="L12" s="12"/>
      <c r="M12" s="6"/>
    </row>
    <row r="13" spans="6:13" ht="21" x14ac:dyDescent="0.5">
      <c r="F13" s="18" t="s">
        <v>76</v>
      </c>
      <c r="G13" s="19">
        <v>45900</v>
      </c>
      <c r="H13" s="20" t="str">
        <f>_xlfn.XLOOKUP(Recieved!F13,Table4[ProductName],Table4[ProductID],"Item Not Found",0)</f>
        <v>P017</v>
      </c>
      <c r="I13" s="20">
        <v>6</v>
      </c>
      <c r="J13" s="21" t="s">
        <v>88</v>
      </c>
      <c r="K13" s="13"/>
      <c r="L13" s="12"/>
      <c r="M13" s="6"/>
    </row>
    <row r="14" spans="6:13" ht="21" x14ac:dyDescent="0.5">
      <c r="F14" s="18" t="s">
        <v>64</v>
      </c>
      <c r="G14" s="19">
        <v>45900</v>
      </c>
      <c r="H14" s="20" t="str">
        <f>_xlfn.XLOOKUP(Recieved!F14,Table4[ProductName],Table4[ProductID],"Item Not Found",0)</f>
        <v>P012</v>
      </c>
      <c r="I14" s="20">
        <v>7</v>
      </c>
      <c r="J14" s="21" t="s">
        <v>88</v>
      </c>
      <c r="K14" s="13"/>
      <c r="L14" s="12"/>
      <c r="M14" s="6"/>
    </row>
    <row r="15" spans="6:13" ht="21" x14ac:dyDescent="0.5">
      <c r="F15" s="18" t="s">
        <v>74</v>
      </c>
      <c r="G15" s="19">
        <v>45900</v>
      </c>
      <c r="H15" s="20" t="str">
        <f>_xlfn.XLOOKUP(Recieved!F15,Table4[ProductName],Table4[ProductID],"Item Not Found",0)</f>
        <v>P016</v>
      </c>
      <c r="I15" s="20">
        <v>48</v>
      </c>
      <c r="J15" s="21" t="s">
        <v>88</v>
      </c>
      <c r="K15" s="13"/>
      <c r="L15" s="12"/>
      <c r="M15" s="6"/>
    </row>
    <row r="16" spans="6:13" ht="21" x14ac:dyDescent="0.5">
      <c r="F16" s="18" t="s">
        <v>82</v>
      </c>
      <c r="G16" s="19">
        <v>45900</v>
      </c>
      <c r="H16" s="20" t="str">
        <f>_xlfn.XLOOKUP(Recieved!F16,Table4[ProductName],Table4[ProductID],"Item Not Found",0)</f>
        <v>P020</v>
      </c>
      <c r="I16" s="20">
        <v>27</v>
      </c>
      <c r="J16" s="21" t="s">
        <v>88</v>
      </c>
      <c r="K16" s="13"/>
      <c r="L16" s="12"/>
      <c r="M16" s="6"/>
    </row>
    <row r="17" spans="6:13" ht="21" x14ac:dyDescent="0.5">
      <c r="F17" s="18" t="s">
        <v>44</v>
      </c>
      <c r="G17" s="19">
        <v>45900</v>
      </c>
      <c r="H17" s="20" t="str">
        <f>_xlfn.XLOOKUP(Recieved!F17,Table4[ProductName],Table4[ProductID],"Item Not Found",0)</f>
        <v>P005</v>
      </c>
      <c r="I17" s="20">
        <v>40</v>
      </c>
      <c r="J17" s="21" t="s">
        <v>88</v>
      </c>
      <c r="K17" s="13"/>
      <c r="L17" s="12"/>
      <c r="M17" s="6"/>
    </row>
    <row r="18" spans="6:13" ht="21" x14ac:dyDescent="0.5">
      <c r="F18" s="18" t="s">
        <v>33</v>
      </c>
      <c r="G18" s="19">
        <v>45900</v>
      </c>
      <c r="H18" s="20" t="str">
        <f>_xlfn.XLOOKUP(Recieved!F18,Table4[ProductName],Table4[ProductID],"Item Not Found",0)</f>
        <v>P002</v>
      </c>
      <c r="I18" s="20">
        <v>4</v>
      </c>
      <c r="J18" s="21" t="s">
        <v>88</v>
      </c>
      <c r="K18" s="13"/>
      <c r="L18" s="12"/>
      <c r="M18" s="6"/>
    </row>
    <row r="19" spans="6:13" ht="21" x14ac:dyDescent="0.5">
      <c r="F19" s="18" t="s">
        <v>41</v>
      </c>
      <c r="G19" s="19">
        <v>45900</v>
      </c>
      <c r="H19" s="20" t="str">
        <f>_xlfn.XLOOKUP(Recieved!F19,Table4[ProductName],Table4[ProductID],"Item Not Found",0)</f>
        <v>P004</v>
      </c>
      <c r="I19" s="20">
        <v>34</v>
      </c>
      <c r="J19" s="21" t="s">
        <v>88</v>
      </c>
      <c r="K19" s="13"/>
      <c r="L19" s="12"/>
      <c r="M19" s="6"/>
    </row>
    <row r="20" spans="6:13" ht="21" x14ac:dyDescent="0.5">
      <c r="F20" s="18" t="s">
        <v>62</v>
      </c>
      <c r="G20" s="19">
        <v>45900</v>
      </c>
      <c r="H20" s="20" t="str">
        <f>_xlfn.XLOOKUP(Recieved!F20,Table4[ProductName],Table4[ProductID],"Item Not Found",0)</f>
        <v>P011</v>
      </c>
      <c r="I20" s="20">
        <v>6</v>
      </c>
      <c r="J20" s="21" t="s">
        <v>88</v>
      </c>
      <c r="K20" s="13"/>
      <c r="L20" s="12"/>
      <c r="M20" s="6"/>
    </row>
    <row r="21" spans="6:13" ht="21" x14ac:dyDescent="0.5">
      <c r="F21" s="18" t="s">
        <v>48</v>
      </c>
      <c r="G21" s="19">
        <v>45900</v>
      </c>
      <c r="H21" s="20" t="str">
        <f>_xlfn.XLOOKUP(Recieved!F21,Table4[ProductName],Table4[ProductID],"Item Not Found",0)</f>
        <v>P006</v>
      </c>
      <c r="I21" s="20">
        <v>28</v>
      </c>
      <c r="J21" s="21" t="s">
        <v>88</v>
      </c>
      <c r="K21" s="13"/>
      <c r="L21" s="12"/>
      <c r="M21" s="6"/>
    </row>
    <row r="22" spans="6:13" ht="21" x14ac:dyDescent="0.5">
      <c r="F22" s="18" t="s">
        <v>78</v>
      </c>
      <c r="G22" s="19">
        <v>45900</v>
      </c>
      <c r="H22" s="20" t="str">
        <f>_xlfn.XLOOKUP(Recieved!F22,Table4[ProductName],Table4[ProductID],"Item Not Found",0)</f>
        <v>P018</v>
      </c>
      <c r="I22" s="20">
        <v>35</v>
      </c>
      <c r="J22" s="21" t="s">
        <v>88</v>
      </c>
      <c r="K22" s="13"/>
      <c r="L22" s="12"/>
      <c r="M22" s="6"/>
    </row>
    <row r="23" spans="6:13" ht="21" x14ac:dyDescent="0.5">
      <c r="F23" s="18" t="s">
        <v>37</v>
      </c>
      <c r="G23" s="19">
        <v>45900</v>
      </c>
      <c r="H23" s="20" t="str">
        <f>_xlfn.XLOOKUP(Recieved!F23,Table4[ProductName],Table4[ProductID],"Item Not Found",0)</f>
        <v>P003</v>
      </c>
      <c r="I23" s="20">
        <v>45</v>
      </c>
      <c r="J23" s="21" t="s">
        <v>88</v>
      </c>
      <c r="K23" s="13"/>
      <c r="L23" s="12"/>
      <c r="M23" s="6"/>
    </row>
    <row r="24" spans="6:13" ht="21" x14ac:dyDescent="0.5">
      <c r="F24" s="18" t="s">
        <v>80</v>
      </c>
      <c r="G24" s="19">
        <v>45900</v>
      </c>
      <c r="H24" s="20" t="str">
        <f>_xlfn.XLOOKUP(Recieved!F24,Table4[ProductName],Table4[ProductID],"Item Not Found",0)</f>
        <v>P019</v>
      </c>
      <c r="I24" s="20">
        <v>2</v>
      </c>
      <c r="J24" s="21" t="s">
        <v>88</v>
      </c>
      <c r="K24" s="13"/>
      <c r="L24" s="12"/>
      <c r="M24" s="6"/>
    </row>
    <row r="25" spans="6:13" ht="21" x14ac:dyDescent="0.5">
      <c r="F25" s="18" t="s">
        <v>67</v>
      </c>
      <c r="G25" s="19">
        <v>45900</v>
      </c>
      <c r="H25" s="20" t="str">
        <f>_xlfn.XLOOKUP(Recieved!F25,Table4[ProductName],Table4[ProductID],"Item Not Found",0)</f>
        <v>P013</v>
      </c>
      <c r="I25" s="20">
        <v>10</v>
      </c>
      <c r="J25" s="21" t="s">
        <v>88</v>
      </c>
      <c r="K25" s="13"/>
      <c r="L25" s="12"/>
      <c r="M25" s="6"/>
    </row>
    <row r="26" spans="6:13" ht="21" x14ac:dyDescent="0.5">
      <c r="F26" s="18" t="s">
        <v>50</v>
      </c>
      <c r="G26" s="19">
        <v>45900</v>
      </c>
      <c r="H26" s="20" t="str">
        <f>_xlfn.XLOOKUP(Recieved!F26,Table4[ProductName],Table4[ProductID],"Item Not Found",0)</f>
        <v>P007</v>
      </c>
      <c r="I26" s="20">
        <v>17</v>
      </c>
      <c r="J26" s="21" t="s">
        <v>88</v>
      </c>
      <c r="K26" s="13"/>
      <c r="L26" s="12"/>
      <c r="M26" s="6"/>
    </row>
    <row r="27" spans="6:13" ht="21" x14ac:dyDescent="0.5">
      <c r="F27" s="18" t="s">
        <v>54</v>
      </c>
      <c r="G27" s="19">
        <v>45900</v>
      </c>
      <c r="H27" s="20" t="str">
        <f>_xlfn.XLOOKUP(Recieved!F27,Table4[ProductName],Table4[ProductID],"Item Not Found",0)</f>
        <v>P008</v>
      </c>
      <c r="I27" s="20">
        <v>21</v>
      </c>
      <c r="J27" s="21" t="s">
        <v>88</v>
      </c>
      <c r="K27" s="13"/>
      <c r="L27" s="12"/>
      <c r="M27" s="6"/>
    </row>
    <row r="28" spans="6:13" ht="21" x14ac:dyDescent="0.5">
      <c r="F28" s="18" t="s">
        <v>50</v>
      </c>
      <c r="G28" s="19">
        <v>45900</v>
      </c>
      <c r="H28" s="20" t="str">
        <f>_xlfn.XLOOKUP(Recieved!F28,Table4[ProductName],Table4[ProductID],"Item Not Found",0)</f>
        <v>P007</v>
      </c>
      <c r="I28" s="20">
        <v>35</v>
      </c>
      <c r="J28" s="21" t="s">
        <v>88</v>
      </c>
      <c r="K28" s="13"/>
      <c r="L28" s="12"/>
      <c r="M28" s="6"/>
    </row>
    <row r="29" spans="6:13" ht="21" x14ac:dyDescent="0.5">
      <c r="F29" s="18" t="s">
        <v>67</v>
      </c>
      <c r="G29" s="19">
        <v>45900</v>
      </c>
      <c r="H29" s="20" t="str">
        <f>_xlfn.XLOOKUP(Recieved!F29,Table4[ProductName],Table4[ProductID],"Item Not Found",0)</f>
        <v>P013</v>
      </c>
      <c r="I29" s="20">
        <v>14</v>
      </c>
      <c r="J29" s="21" t="s">
        <v>88</v>
      </c>
    </row>
    <row r="30" spans="6:13" ht="21" x14ac:dyDescent="0.5">
      <c r="F30" s="18" t="s">
        <v>44</v>
      </c>
      <c r="G30" s="19">
        <v>45900</v>
      </c>
      <c r="H30" s="20" t="str">
        <f>_xlfn.XLOOKUP(Recieved!F30,Table4[ProductName],Table4[ProductID],"Item Not Found",0)</f>
        <v>P005</v>
      </c>
      <c r="I30" s="20">
        <v>7</v>
      </c>
      <c r="J30" s="21" t="s">
        <v>88</v>
      </c>
    </row>
    <row r="31" spans="6:13" ht="21" x14ac:dyDescent="0.5">
      <c r="F31" s="18" t="s">
        <v>29</v>
      </c>
      <c r="G31" s="19">
        <v>45900</v>
      </c>
      <c r="H31" s="20" t="str">
        <f>_xlfn.XLOOKUP(Recieved!F31,Table4[ProductName],Table4[ProductID],"Item Not Found",0)</f>
        <v>P001</v>
      </c>
      <c r="I31" s="20">
        <v>21</v>
      </c>
      <c r="J31" s="21" t="s">
        <v>88</v>
      </c>
    </row>
    <row r="32" spans="6:13" ht="21" x14ac:dyDescent="0.5">
      <c r="F32" s="18" t="s">
        <v>41</v>
      </c>
      <c r="G32" s="19">
        <v>45900</v>
      </c>
      <c r="H32" s="20" t="str">
        <f>_xlfn.XLOOKUP(Recieved!F32,Table4[ProductName],Table4[ProductID],"Item Not Found",0)</f>
        <v>P004</v>
      </c>
      <c r="I32" s="20">
        <v>27</v>
      </c>
      <c r="J32" s="21" t="s">
        <v>88</v>
      </c>
    </row>
    <row r="33" spans="6:10" ht="21" x14ac:dyDescent="0.5">
      <c r="F33" s="18" t="s">
        <v>64</v>
      </c>
      <c r="G33" s="19">
        <v>45900</v>
      </c>
      <c r="H33" s="20" t="str">
        <f>_xlfn.XLOOKUP(Recieved!F33,Table4[ProductName],Table4[ProductID],"Item Not Found",0)</f>
        <v>P012</v>
      </c>
      <c r="I33" s="20">
        <v>21</v>
      </c>
      <c r="J33" s="21" t="s">
        <v>88</v>
      </c>
    </row>
    <row r="34" spans="6:10" ht="21" x14ac:dyDescent="0.5">
      <c r="F34" s="18" t="s">
        <v>72</v>
      </c>
      <c r="G34" s="19">
        <v>45900</v>
      </c>
      <c r="H34" s="20" t="str">
        <f>_xlfn.XLOOKUP(Recieved!F34,Table4[ProductName],Table4[ProductID],"Item Not Found",0)</f>
        <v>P015</v>
      </c>
      <c r="I34" s="20">
        <v>2</v>
      </c>
      <c r="J34" s="21" t="s">
        <v>88</v>
      </c>
    </row>
    <row r="35" spans="6:10" ht="21" x14ac:dyDescent="0.5">
      <c r="F35" s="18" t="s">
        <v>82</v>
      </c>
      <c r="G35" s="19">
        <v>45900</v>
      </c>
      <c r="H35" s="20" t="str">
        <f>_xlfn.XLOOKUP(Recieved!F35,Table4[ProductName],Table4[ProductID],"Item Not Found",0)</f>
        <v>P020</v>
      </c>
      <c r="I35" s="20">
        <v>49</v>
      </c>
      <c r="J35" s="21" t="s">
        <v>88</v>
      </c>
    </row>
    <row r="36" spans="6:10" ht="21" x14ac:dyDescent="0.5">
      <c r="F36" s="18" t="s">
        <v>54</v>
      </c>
      <c r="G36" s="19">
        <v>45900</v>
      </c>
      <c r="H36" s="20" t="str">
        <f>_xlfn.XLOOKUP(Recieved!F36,Table4[ProductName],Table4[ProductID],"Item Not Found",0)</f>
        <v>P008</v>
      </c>
      <c r="I36" s="20">
        <v>30</v>
      </c>
      <c r="J36" s="21" t="s">
        <v>88</v>
      </c>
    </row>
    <row r="37" spans="6:10" ht="21" x14ac:dyDescent="0.5">
      <c r="F37" s="18" t="s">
        <v>69</v>
      </c>
      <c r="G37" s="19">
        <v>45900</v>
      </c>
      <c r="H37" s="20" t="str">
        <f>_xlfn.XLOOKUP(Recieved!F37,Table4[ProductName],Table4[ProductID],"Item Not Found",0)</f>
        <v>P014</v>
      </c>
      <c r="I37" s="20">
        <v>42</v>
      </c>
      <c r="J37" s="21" t="s">
        <v>88</v>
      </c>
    </row>
    <row r="38" spans="6:10" ht="21" x14ac:dyDescent="0.5">
      <c r="F38" s="18" t="s">
        <v>59</v>
      </c>
      <c r="G38" s="19">
        <v>45900</v>
      </c>
      <c r="H38" s="20" t="str">
        <f>_xlfn.XLOOKUP(Recieved!F38,Table4[ProductName],Table4[ProductID],"Item Not Found",0)</f>
        <v>P010</v>
      </c>
      <c r="I38" s="20">
        <v>15</v>
      </c>
      <c r="J38" s="21" t="s">
        <v>88</v>
      </c>
    </row>
    <row r="39" spans="6:10" ht="21" x14ac:dyDescent="0.5">
      <c r="F39" s="18" t="s">
        <v>74</v>
      </c>
      <c r="G39" s="19">
        <v>45900</v>
      </c>
      <c r="H39" s="20" t="str">
        <f>_xlfn.XLOOKUP(Recieved!F39,Table4[ProductName],Table4[ProductID],"Item Not Found",0)</f>
        <v>P016</v>
      </c>
      <c r="I39" s="20">
        <v>15</v>
      </c>
      <c r="J39" s="21" t="s">
        <v>88</v>
      </c>
    </row>
    <row r="40" spans="6:10" ht="21" x14ac:dyDescent="0.5">
      <c r="F40" s="18" t="s">
        <v>76</v>
      </c>
      <c r="G40" s="19">
        <v>45900</v>
      </c>
      <c r="H40" s="20" t="str">
        <f>_xlfn.XLOOKUP(Recieved!F40,Table4[ProductName],Table4[ProductID],"Item Not Found",0)</f>
        <v>P017</v>
      </c>
      <c r="I40" s="20">
        <v>27</v>
      </c>
      <c r="J40" s="21" t="s">
        <v>88</v>
      </c>
    </row>
    <row r="41" spans="6:10" ht="21" x14ac:dyDescent="0.5">
      <c r="F41" s="18" t="s">
        <v>33</v>
      </c>
      <c r="G41" s="19">
        <v>45900</v>
      </c>
      <c r="H41" s="20" t="str">
        <f>_xlfn.XLOOKUP(Recieved!F41,Table4[ProductName],Table4[ProductID],"Item Not Found",0)</f>
        <v>P002</v>
      </c>
      <c r="I41" s="20">
        <v>22</v>
      </c>
      <c r="J41" s="21" t="s">
        <v>88</v>
      </c>
    </row>
    <row r="42" spans="6:10" ht="21" x14ac:dyDescent="0.5">
      <c r="F42" s="18" t="s">
        <v>78</v>
      </c>
      <c r="G42" s="19">
        <v>45900</v>
      </c>
      <c r="H42" s="20" t="str">
        <f>_xlfn.XLOOKUP(Recieved!F42,Table4[ProductName],Table4[ProductID],"Item Not Found",0)</f>
        <v>P018</v>
      </c>
      <c r="I42" s="20">
        <v>18</v>
      </c>
      <c r="J42" s="21" t="s">
        <v>88</v>
      </c>
    </row>
    <row r="43" spans="6:10" ht="21" x14ac:dyDescent="0.5">
      <c r="F43" s="18" t="s">
        <v>37</v>
      </c>
      <c r="G43" s="19">
        <v>45900</v>
      </c>
      <c r="H43" s="20" t="str">
        <f>_xlfn.XLOOKUP(Recieved!F43,Table4[ProductName],Table4[ProductID],"Item Not Found",0)</f>
        <v>P003</v>
      </c>
      <c r="I43" s="20">
        <v>39</v>
      </c>
      <c r="J43" s="21" t="s">
        <v>88</v>
      </c>
    </row>
    <row r="44" spans="6:10" ht="21" x14ac:dyDescent="0.5">
      <c r="F44" s="18" t="s">
        <v>48</v>
      </c>
      <c r="G44" s="19">
        <v>45900</v>
      </c>
      <c r="H44" s="20" t="str">
        <f>_xlfn.XLOOKUP(Recieved!F44,Table4[ProductName],Table4[ProductID],"Item Not Found",0)</f>
        <v>P006</v>
      </c>
      <c r="I44" s="20">
        <v>41</v>
      </c>
      <c r="J44" s="21" t="s">
        <v>88</v>
      </c>
    </row>
    <row r="45" spans="6:10" ht="21" x14ac:dyDescent="0.5">
      <c r="F45" s="18" t="s">
        <v>56</v>
      </c>
      <c r="G45" s="19">
        <v>45900</v>
      </c>
      <c r="H45" s="20" t="str">
        <f>_xlfn.XLOOKUP(Recieved!F45,Table4[ProductName],Table4[ProductID],"Item Not Found",0)</f>
        <v>P009</v>
      </c>
      <c r="I45" s="20">
        <v>28</v>
      </c>
      <c r="J45" s="21" t="s">
        <v>88</v>
      </c>
    </row>
    <row r="46" spans="6:10" ht="21" x14ac:dyDescent="0.5">
      <c r="F46" s="18" t="s">
        <v>80</v>
      </c>
      <c r="G46" s="19">
        <v>45900</v>
      </c>
      <c r="H46" s="20" t="str">
        <f>_xlfn.XLOOKUP(Recieved!F46,Table4[ProductName],Table4[ProductID],"Item Not Found",0)</f>
        <v>P019</v>
      </c>
      <c r="I46" s="20">
        <v>44</v>
      </c>
      <c r="J46" s="21" t="s">
        <v>88</v>
      </c>
    </row>
    <row r="47" spans="6:10" ht="21" x14ac:dyDescent="0.5">
      <c r="F47" s="18" t="s">
        <v>62</v>
      </c>
      <c r="G47" s="19">
        <v>45900</v>
      </c>
      <c r="H47" s="20" t="str">
        <f>_xlfn.XLOOKUP(Recieved!F47,Table4[ProductName],Table4[ProductID],"Item Not Found",0)</f>
        <v>P011</v>
      </c>
      <c r="I47" s="20">
        <v>45</v>
      </c>
      <c r="J47" s="21" t="s">
        <v>88</v>
      </c>
    </row>
  </sheetData>
  <conditionalFormatting sqref="L9:L28">
    <cfRule type="containsText" dxfId="15" priority="1" operator="containsText" text="YES">
      <formula>NOT(ISERROR(SEARCH("YES",L9)))</formula>
    </cfRule>
    <cfRule type="containsText" dxfId="14" priority="2" operator="containsText" text="NO">
      <formula>NOT(ISERROR(SEARCH("NO",L9)))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4047-088F-44BB-983A-A6CCA45815E8}">
  <dimension ref="F8:M72"/>
  <sheetViews>
    <sheetView topLeftCell="A7" zoomScale="70" workbookViewId="0"/>
  </sheetViews>
  <sheetFormatPr defaultRowHeight="14.5" x14ac:dyDescent="0.35"/>
  <cols>
    <col min="1" max="1" width="5.08984375" style="1" customWidth="1"/>
    <col min="2" max="4" width="8.7265625" style="1"/>
    <col min="5" max="5" width="3.36328125" style="1" customWidth="1"/>
    <col min="6" max="6" width="32.26953125" style="1" bestFit="1" customWidth="1"/>
    <col min="7" max="7" width="32.26953125" style="1" customWidth="1"/>
    <col min="8" max="8" width="14.54296875" style="1" bestFit="1" customWidth="1"/>
    <col min="9" max="9" width="20.26953125" style="1" bestFit="1" customWidth="1"/>
    <col min="10" max="10" width="24.81640625" style="1" bestFit="1" customWidth="1"/>
    <col min="11" max="11" width="17.7265625" style="1" bestFit="1" customWidth="1"/>
    <col min="12" max="12" width="12.26953125" style="1" bestFit="1" customWidth="1"/>
    <col min="13" max="13" width="32.36328125" style="1" bestFit="1" customWidth="1"/>
    <col min="14" max="16384" width="8.7265625" style="1"/>
  </cols>
  <sheetData>
    <row r="8" spans="6:13" ht="43.5" customHeight="1" x14ac:dyDescent="0.35">
      <c r="F8" s="8" t="s">
        <v>23</v>
      </c>
      <c r="G8" s="8" t="s">
        <v>89</v>
      </c>
      <c r="H8" s="8" t="s">
        <v>22</v>
      </c>
      <c r="I8" s="8" t="s">
        <v>86</v>
      </c>
      <c r="J8" s="8" t="s">
        <v>87</v>
      </c>
      <c r="K8" s="11"/>
      <c r="L8" s="11"/>
      <c r="M8" s="5"/>
    </row>
    <row r="9" spans="6:13" ht="21" x14ac:dyDescent="0.5">
      <c r="F9" s="9" t="s">
        <v>44</v>
      </c>
      <c r="G9" s="14">
        <v>45900</v>
      </c>
      <c r="H9" s="9" t="str">
        <f>_xlfn.XLOOKUP(Table6[[#This Row],[ProductName]],Table4[ProductName],Table4[ProductID],"Item Not Found",0)</f>
        <v>P005</v>
      </c>
      <c r="I9" s="9">
        <v>20</v>
      </c>
      <c r="J9" s="9" t="s">
        <v>90</v>
      </c>
      <c r="K9" s="13"/>
      <c r="L9" s="12"/>
      <c r="M9" s="6"/>
    </row>
    <row r="10" spans="6:13" ht="21" x14ac:dyDescent="0.5">
      <c r="F10" s="9" t="s">
        <v>74</v>
      </c>
      <c r="G10" s="14">
        <v>45900</v>
      </c>
      <c r="H10" s="9" t="str">
        <f>_xlfn.XLOOKUP(Table6[[#This Row],[ProductName]],Table4[ProductName],Table4[ProductID],"Item Not Found",0)</f>
        <v>P016</v>
      </c>
      <c r="I10" s="9">
        <v>16</v>
      </c>
      <c r="J10" s="9" t="s">
        <v>90</v>
      </c>
      <c r="K10" s="13"/>
      <c r="L10" s="12"/>
      <c r="M10" s="6"/>
    </row>
    <row r="11" spans="6:13" ht="21" x14ac:dyDescent="0.5">
      <c r="F11" s="9" t="s">
        <v>33</v>
      </c>
      <c r="G11" s="14">
        <v>45900</v>
      </c>
      <c r="H11" s="9" t="str">
        <f>_xlfn.XLOOKUP(Table6[[#This Row],[ProductName]],Table4[ProductName],Table4[ProductID],"Item Not Found",0)</f>
        <v>P002</v>
      </c>
      <c r="I11" s="9">
        <v>16</v>
      </c>
      <c r="J11" s="9" t="s">
        <v>90</v>
      </c>
      <c r="K11" s="13"/>
      <c r="L11" s="12"/>
      <c r="M11" s="6"/>
    </row>
    <row r="12" spans="6:13" ht="21" x14ac:dyDescent="0.5">
      <c r="F12" s="9" t="s">
        <v>69</v>
      </c>
      <c r="G12" s="14">
        <v>45900</v>
      </c>
      <c r="H12" s="9" t="str">
        <f>_xlfn.XLOOKUP(Table6[[#This Row],[ProductName]],Table4[ProductName],Table4[ProductID],"Item Not Found",0)</f>
        <v>P014</v>
      </c>
      <c r="I12" s="9">
        <v>21</v>
      </c>
      <c r="J12" s="9" t="s">
        <v>90</v>
      </c>
      <c r="K12" s="13"/>
      <c r="L12" s="12"/>
      <c r="M12" s="6"/>
    </row>
    <row r="13" spans="6:13" ht="21" x14ac:dyDescent="0.5">
      <c r="F13" s="9" t="s">
        <v>56</v>
      </c>
      <c r="G13" s="14">
        <v>45900</v>
      </c>
      <c r="H13" s="9" t="str">
        <f>_xlfn.XLOOKUP(Table6[[#This Row],[ProductName]],Table4[ProductName],Table4[ProductID],"Item Not Found",0)</f>
        <v>P009</v>
      </c>
      <c r="I13" s="9">
        <v>11</v>
      </c>
      <c r="J13" s="9" t="s">
        <v>90</v>
      </c>
      <c r="K13" s="13"/>
      <c r="L13" s="12"/>
      <c r="M13" s="6"/>
    </row>
    <row r="14" spans="6:13" ht="21" x14ac:dyDescent="0.5">
      <c r="F14" s="9" t="s">
        <v>62</v>
      </c>
      <c r="G14" s="14">
        <v>45900</v>
      </c>
      <c r="H14" s="9" t="str">
        <f>_xlfn.XLOOKUP(Table6[[#This Row],[ProductName]],Table4[ProductName],Table4[ProductID],"Item Not Found",0)</f>
        <v>P011</v>
      </c>
      <c r="I14" s="9">
        <v>27</v>
      </c>
      <c r="J14" s="9" t="s">
        <v>90</v>
      </c>
      <c r="K14" s="13"/>
      <c r="L14" s="12"/>
      <c r="M14" s="6"/>
    </row>
    <row r="15" spans="6:13" ht="21" x14ac:dyDescent="0.5">
      <c r="F15" s="9" t="s">
        <v>76</v>
      </c>
      <c r="G15" s="14">
        <v>45900</v>
      </c>
      <c r="H15" s="9" t="str">
        <f>_xlfn.XLOOKUP(Table6[[#This Row],[ProductName]],Table4[ProductName],Table4[ProductID],"Item Not Found",0)</f>
        <v>P017</v>
      </c>
      <c r="I15" s="9">
        <v>21</v>
      </c>
      <c r="J15" s="9" t="s">
        <v>90</v>
      </c>
      <c r="K15" s="13"/>
      <c r="L15" s="12"/>
      <c r="M15" s="6"/>
    </row>
    <row r="16" spans="6:13" ht="21" x14ac:dyDescent="0.5">
      <c r="F16" s="9" t="s">
        <v>59</v>
      </c>
      <c r="G16" s="14">
        <v>45900</v>
      </c>
      <c r="H16" s="9" t="str">
        <f>_xlfn.XLOOKUP(Table6[[#This Row],[ProductName]],Table4[ProductName],Table4[ProductID],"Item Not Found",0)</f>
        <v>P010</v>
      </c>
      <c r="I16" s="9">
        <v>30</v>
      </c>
      <c r="J16" s="9" t="s">
        <v>90</v>
      </c>
      <c r="K16" s="13"/>
      <c r="L16" s="12"/>
      <c r="M16" s="6"/>
    </row>
    <row r="17" spans="6:13" ht="21" x14ac:dyDescent="0.5">
      <c r="F17" s="9" t="s">
        <v>82</v>
      </c>
      <c r="G17" s="14">
        <v>45900</v>
      </c>
      <c r="H17" s="9" t="str">
        <f>_xlfn.XLOOKUP(Table6[[#This Row],[ProductName]],Table4[ProductName],Table4[ProductID],"Item Not Found",0)</f>
        <v>P020</v>
      </c>
      <c r="I17" s="9">
        <v>4</v>
      </c>
      <c r="J17" s="9" t="s">
        <v>90</v>
      </c>
      <c r="K17" s="13"/>
      <c r="L17" s="12"/>
      <c r="M17" s="6"/>
    </row>
    <row r="18" spans="6:13" ht="21" x14ac:dyDescent="0.5">
      <c r="F18" s="9" t="s">
        <v>29</v>
      </c>
      <c r="G18" s="14">
        <v>45901</v>
      </c>
      <c r="H18" s="9" t="str">
        <f>_xlfn.XLOOKUP(Table6[[#This Row],[ProductName]],Table4[ProductName],Table4[ProductID],"Item Not Found",0)</f>
        <v>P001</v>
      </c>
      <c r="I18" s="9">
        <v>6</v>
      </c>
      <c r="J18" s="9" t="s">
        <v>90</v>
      </c>
      <c r="K18" s="13"/>
      <c r="L18" s="12"/>
      <c r="M18" s="6"/>
    </row>
    <row r="19" spans="6:13" ht="21" x14ac:dyDescent="0.5">
      <c r="F19" s="9" t="s">
        <v>48</v>
      </c>
      <c r="G19" s="14">
        <v>45901</v>
      </c>
      <c r="H19" s="9" t="str">
        <f>_xlfn.XLOOKUP(Table6[[#This Row],[ProductName]],Table4[ProductName],Table4[ProductID],"Item Not Found",0)</f>
        <v>P006</v>
      </c>
      <c r="I19" s="9">
        <v>14</v>
      </c>
      <c r="J19" s="9" t="s">
        <v>90</v>
      </c>
      <c r="K19" s="13"/>
      <c r="L19" s="12"/>
      <c r="M19" s="6"/>
    </row>
    <row r="20" spans="6:13" ht="21" x14ac:dyDescent="0.5">
      <c r="F20" s="9" t="s">
        <v>67</v>
      </c>
      <c r="G20" s="14">
        <v>45901</v>
      </c>
      <c r="H20" s="9" t="str">
        <f>_xlfn.XLOOKUP(Table6[[#This Row],[ProductName]],Table4[ProductName],Table4[ProductID],"Item Not Found",0)</f>
        <v>P013</v>
      </c>
      <c r="I20" s="9">
        <v>19</v>
      </c>
      <c r="J20" s="9" t="s">
        <v>90</v>
      </c>
      <c r="K20" s="13"/>
      <c r="L20" s="12"/>
      <c r="M20" s="6"/>
    </row>
    <row r="21" spans="6:13" ht="21" x14ac:dyDescent="0.5">
      <c r="F21" s="9" t="s">
        <v>80</v>
      </c>
      <c r="G21" s="14">
        <v>45902</v>
      </c>
      <c r="H21" s="9" t="str">
        <f>_xlfn.XLOOKUP(Table6[[#This Row],[ProductName]],Table4[ProductName],Table4[ProductID],"Item Not Found",0)</f>
        <v>P019</v>
      </c>
      <c r="I21" s="9">
        <v>9</v>
      </c>
      <c r="J21" s="9" t="s">
        <v>90</v>
      </c>
      <c r="K21" s="13"/>
      <c r="L21" s="12"/>
      <c r="M21" s="6"/>
    </row>
    <row r="22" spans="6:13" ht="21" x14ac:dyDescent="0.5">
      <c r="F22" s="9" t="s">
        <v>37</v>
      </c>
      <c r="G22" s="14">
        <v>45902</v>
      </c>
      <c r="H22" s="9" t="str">
        <f>_xlfn.XLOOKUP(Table6[[#This Row],[ProductName]],Table4[ProductName],Table4[ProductID],"Item Not Found",0)</f>
        <v>P003</v>
      </c>
      <c r="I22" s="9">
        <v>4</v>
      </c>
      <c r="J22" s="9" t="s">
        <v>90</v>
      </c>
      <c r="K22" s="13"/>
      <c r="L22" s="12"/>
      <c r="M22" s="6"/>
    </row>
    <row r="23" spans="6:13" ht="21" x14ac:dyDescent="0.5">
      <c r="F23" s="9" t="s">
        <v>64</v>
      </c>
      <c r="G23" s="14">
        <v>45902</v>
      </c>
      <c r="H23" s="9" t="str">
        <f>_xlfn.XLOOKUP(Table6[[#This Row],[ProductName]],Table4[ProductName],Table4[ProductID],"Item Not Found",0)</f>
        <v>P012</v>
      </c>
      <c r="I23" s="9">
        <v>14</v>
      </c>
      <c r="J23" s="9" t="s">
        <v>90</v>
      </c>
      <c r="K23" s="13"/>
      <c r="L23" s="12"/>
      <c r="M23" s="6"/>
    </row>
    <row r="24" spans="6:13" ht="21" x14ac:dyDescent="0.5">
      <c r="F24" s="9" t="s">
        <v>50</v>
      </c>
      <c r="G24" s="14">
        <v>45903</v>
      </c>
      <c r="H24" s="9" t="str">
        <f>_xlfn.XLOOKUP(Table6[[#This Row],[ProductName]],Table4[ProductName],Table4[ProductID],"Item Not Found",0)</f>
        <v>P007</v>
      </c>
      <c r="I24" s="9">
        <v>28</v>
      </c>
      <c r="J24" s="9" t="s">
        <v>90</v>
      </c>
      <c r="K24" s="13"/>
      <c r="L24" s="12"/>
      <c r="M24" s="6"/>
    </row>
    <row r="25" spans="6:13" ht="21" x14ac:dyDescent="0.5">
      <c r="F25" s="9" t="s">
        <v>72</v>
      </c>
      <c r="G25" s="14">
        <v>45903</v>
      </c>
      <c r="H25" s="9" t="str">
        <f>_xlfn.XLOOKUP(Table6[[#This Row],[ProductName]],Table4[ProductName],Table4[ProductID],"Item Not Found",0)</f>
        <v>P015</v>
      </c>
      <c r="I25" s="9">
        <v>2</v>
      </c>
      <c r="J25" s="9" t="s">
        <v>90</v>
      </c>
      <c r="K25" s="13"/>
      <c r="L25" s="12"/>
      <c r="M25" s="6"/>
    </row>
    <row r="26" spans="6:13" ht="21" x14ac:dyDescent="0.5">
      <c r="F26" s="9" t="s">
        <v>41</v>
      </c>
      <c r="G26" s="14">
        <v>45903</v>
      </c>
      <c r="H26" s="9" t="str">
        <f>_xlfn.XLOOKUP(Table6[[#This Row],[ProductName]],Table4[ProductName],Table4[ProductID],"Item Not Found",0)</f>
        <v>P004</v>
      </c>
      <c r="I26" s="9">
        <v>12</v>
      </c>
      <c r="J26" s="9" t="s">
        <v>90</v>
      </c>
      <c r="K26" s="13"/>
      <c r="L26" s="12"/>
      <c r="M26" s="6"/>
    </row>
    <row r="27" spans="6:13" ht="21" x14ac:dyDescent="0.5">
      <c r="F27" s="9" t="s">
        <v>78</v>
      </c>
      <c r="G27" s="14">
        <v>45904</v>
      </c>
      <c r="H27" s="9" t="str">
        <f>_xlfn.XLOOKUP(Table6[[#This Row],[ProductName]],Table4[ProductName],Table4[ProductID],"Item Not Found",0)</f>
        <v>P018</v>
      </c>
      <c r="I27" s="9">
        <v>10</v>
      </c>
      <c r="J27" s="9" t="s">
        <v>90</v>
      </c>
      <c r="K27" s="13"/>
      <c r="L27" s="12"/>
      <c r="M27" s="6"/>
    </row>
    <row r="28" spans="6:13" ht="21" x14ac:dyDescent="0.5">
      <c r="F28" s="9" t="s">
        <v>54</v>
      </c>
      <c r="G28" s="14">
        <v>45904</v>
      </c>
      <c r="H28" s="9" t="str">
        <f>_xlfn.XLOOKUP(Table6[[#This Row],[ProductName]],Table4[ProductName],Table4[ProductID],"Item Not Found",0)</f>
        <v>P008</v>
      </c>
      <c r="I28" s="9">
        <v>23</v>
      </c>
      <c r="J28" s="9" t="s">
        <v>90</v>
      </c>
      <c r="K28" s="13"/>
      <c r="L28" s="12"/>
      <c r="M28" s="6"/>
    </row>
    <row r="29" spans="6:13" ht="21" x14ac:dyDescent="0.5">
      <c r="F29" s="9" t="s">
        <v>67</v>
      </c>
      <c r="G29" s="14">
        <v>45904</v>
      </c>
      <c r="H29" s="9" t="str">
        <f>_xlfn.XLOOKUP(Table6[[#This Row],[ProductName]],Table4[ProductName],Table4[ProductID],"Item Not Found",0)</f>
        <v>P013</v>
      </c>
      <c r="I29" s="9">
        <v>24</v>
      </c>
      <c r="J29" s="9" t="s">
        <v>90</v>
      </c>
    </row>
    <row r="30" spans="6:13" ht="21" x14ac:dyDescent="0.5">
      <c r="F30" s="9" t="s">
        <v>64</v>
      </c>
      <c r="G30" s="14">
        <v>45905</v>
      </c>
      <c r="H30" s="9" t="str">
        <f>_xlfn.XLOOKUP(Table6[[#This Row],[ProductName]],Table4[ProductName],Table4[ProductID],"Item Not Found",0)</f>
        <v>P012</v>
      </c>
      <c r="I30" s="9">
        <v>27</v>
      </c>
      <c r="J30" s="9" t="s">
        <v>90</v>
      </c>
    </row>
    <row r="31" spans="6:13" ht="21" x14ac:dyDescent="0.5">
      <c r="F31" s="9" t="s">
        <v>37</v>
      </c>
      <c r="G31" s="14">
        <v>45905</v>
      </c>
      <c r="H31" s="9" t="str">
        <f>_xlfn.XLOOKUP(Table6[[#This Row],[ProductName]],Table4[ProductName],Table4[ProductID],"Item Not Found",0)</f>
        <v>P003</v>
      </c>
      <c r="I31" s="9">
        <v>9</v>
      </c>
      <c r="J31" s="9" t="s">
        <v>90</v>
      </c>
    </row>
    <row r="32" spans="6:13" ht="21" x14ac:dyDescent="0.5">
      <c r="F32" s="9" t="s">
        <v>56</v>
      </c>
      <c r="G32" s="14">
        <v>45905</v>
      </c>
      <c r="H32" s="9" t="str">
        <f>_xlfn.XLOOKUP(Table6[[#This Row],[ProductName]],Table4[ProductName],Table4[ProductID],"Item Not Found",0)</f>
        <v>P009</v>
      </c>
      <c r="I32" s="9">
        <v>10</v>
      </c>
      <c r="J32" s="9" t="s">
        <v>90</v>
      </c>
    </row>
    <row r="33" spans="6:10" ht="21" x14ac:dyDescent="0.5">
      <c r="F33" s="9" t="s">
        <v>29</v>
      </c>
      <c r="G33" s="14">
        <v>45906</v>
      </c>
      <c r="H33" s="9" t="str">
        <f>_xlfn.XLOOKUP(Table6[[#This Row],[ProductName]],Table4[ProductName],Table4[ProductID],"Item Not Found",0)</f>
        <v>P001</v>
      </c>
      <c r="I33" s="9">
        <v>10</v>
      </c>
      <c r="J33" s="9" t="s">
        <v>90</v>
      </c>
    </row>
    <row r="34" spans="6:10" ht="21" x14ac:dyDescent="0.5">
      <c r="F34" s="9" t="s">
        <v>69</v>
      </c>
      <c r="G34" s="14">
        <v>45906</v>
      </c>
      <c r="H34" s="9" t="str">
        <f>_xlfn.XLOOKUP(Table6[[#This Row],[ProductName]],Table4[ProductName],Table4[ProductID],"Item Not Found",0)</f>
        <v>P014</v>
      </c>
      <c r="I34" s="9">
        <v>14</v>
      </c>
      <c r="J34" s="9" t="s">
        <v>90</v>
      </c>
    </row>
    <row r="35" spans="6:10" ht="21" x14ac:dyDescent="0.5">
      <c r="F35" s="9" t="s">
        <v>62</v>
      </c>
      <c r="G35" s="14">
        <v>45906</v>
      </c>
      <c r="H35" s="9" t="str">
        <f>_xlfn.XLOOKUP(Table6[[#This Row],[ProductName]],Table4[ProductName],Table4[ProductID],"Item Not Found",0)</f>
        <v>P011</v>
      </c>
      <c r="I35" s="9">
        <v>6</v>
      </c>
      <c r="J35" s="9" t="s">
        <v>90</v>
      </c>
    </row>
    <row r="36" spans="6:10" ht="21" x14ac:dyDescent="0.5">
      <c r="F36" s="9" t="s">
        <v>33</v>
      </c>
      <c r="G36" s="14">
        <v>45907</v>
      </c>
      <c r="H36" s="9" t="str">
        <f>_xlfn.XLOOKUP(Table6[[#This Row],[ProductName]],Table4[ProductName],Table4[ProductID],"Item Not Found",0)</f>
        <v>P002</v>
      </c>
      <c r="I36" s="9">
        <v>15</v>
      </c>
      <c r="J36" s="9" t="s">
        <v>90</v>
      </c>
    </row>
    <row r="37" spans="6:10" ht="21" x14ac:dyDescent="0.5">
      <c r="F37" s="9" t="s">
        <v>72</v>
      </c>
      <c r="G37" s="14">
        <v>45907</v>
      </c>
      <c r="H37" s="9" t="str">
        <f>_xlfn.XLOOKUP(Table6[[#This Row],[ProductName]],Table4[ProductName],Table4[ProductID],"Item Not Found",0)</f>
        <v>P015</v>
      </c>
      <c r="I37" s="9">
        <v>11</v>
      </c>
      <c r="J37" s="9" t="s">
        <v>90</v>
      </c>
    </row>
    <row r="38" spans="6:10" ht="21" x14ac:dyDescent="0.5">
      <c r="F38" s="9" t="s">
        <v>59</v>
      </c>
      <c r="G38" s="14">
        <v>45910</v>
      </c>
      <c r="H38" s="9" t="str">
        <f>_xlfn.XLOOKUP(Table6[[#This Row],[ProductName]],Table4[ProductName],Table4[ProductID],"Item Not Found",0)</f>
        <v>P010</v>
      </c>
      <c r="I38" s="9">
        <v>22</v>
      </c>
      <c r="J38" s="9" t="s">
        <v>90</v>
      </c>
    </row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  <row r="69" s="1" customFormat="1" x14ac:dyDescent="0.35"/>
    <row r="70" s="1" customFormat="1" x14ac:dyDescent="0.35"/>
    <row r="71" s="1" customFormat="1" x14ac:dyDescent="0.35"/>
    <row r="72" s="1" customFormat="1" x14ac:dyDescent="0.35"/>
  </sheetData>
  <conditionalFormatting sqref="L9:L28">
    <cfRule type="containsText" dxfId="13" priority="1" operator="containsText" text="YES">
      <formula>NOT(ISERROR(SEARCH("YES",L9)))</formula>
    </cfRule>
    <cfRule type="containsText" dxfId="12" priority="2" operator="containsText" text="NO">
      <formula>NOT(ISERROR(SEARCH("NO",L9)))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A0A9-3FE3-4EB2-80D8-10F6B2BE12BF}">
  <dimension ref="B2:J23"/>
  <sheetViews>
    <sheetView topLeftCell="F2" workbookViewId="0">
      <selection activeCell="I14" sqref="I14"/>
    </sheetView>
  </sheetViews>
  <sheetFormatPr defaultRowHeight="14.5" x14ac:dyDescent="0.35"/>
  <cols>
    <col min="2" max="2" width="16.7265625" bestFit="1" customWidth="1"/>
    <col min="3" max="3" width="6.08984375" bestFit="1" customWidth="1"/>
    <col min="6" max="6" width="24" bestFit="1" customWidth="1"/>
    <col min="7" max="7" width="16.7265625" bestFit="1" customWidth="1"/>
    <col min="9" max="9" width="12.453125" bestFit="1" customWidth="1"/>
    <col min="10" max="10" width="15.81640625" bestFit="1" customWidth="1"/>
    <col min="11" max="11" width="12.1796875" bestFit="1" customWidth="1"/>
  </cols>
  <sheetData>
    <row r="2" spans="2:10" ht="16" x14ac:dyDescent="0.4">
      <c r="B2" t="s">
        <v>91</v>
      </c>
      <c r="F2" s="24" t="s">
        <v>96</v>
      </c>
      <c r="G2" s="25" t="s">
        <v>97</v>
      </c>
    </row>
    <row r="3" spans="2:10" ht="16" x14ac:dyDescent="0.4">
      <c r="B3" s="22">
        <v>2942</v>
      </c>
      <c r="F3" s="26" t="s">
        <v>72</v>
      </c>
      <c r="G3" s="36">
        <v>0</v>
      </c>
    </row>
    <row r="4" spans="2:10" ht="16" x14ac:dyDescent="0.4">
      <c r="B4" s="22">
        <f>GETPIVOTDATA("Stock Value",$B$2)</f>
        <v>2942</v>
      </c>
      <c r="F4" s="26" t="s">
        <v>59</v>
      </c>
      <c r="G4" s="36">
        <v>0</v>
      </c>
      <c r="J4" t="s">
        <v>98</v>
      </c>
    </row>
    <row r="5" spans="2:10" ht="16" x14ac:dyDescent="0.4">
      <c r="F5" s="26" t="s">
        <v>64</v>
      </c>
      <c r="G5" s="36">
        <v>0</v>
      </c>
    </row>
    <row r="6" spans="2:10" ht="16" x14ac:dyDescent="0.4">
      <c r="B6" t="s">
        <v>92</v>
      </c>
      <c r="F6" s="26" t="s">
        <v>67</v>
      </c>
      <c r="G6" s="36">
        <v>0</v>
      </c>
    </row>
    <row r="7" spans="2:10" ht="16" x14ac:dyDescent="0.4">
      <c r="B7" s="34">
        <v>20</v>
      </c>
      <c r="F7" s="26" t="s">
        <v>74</v>
      </c>
      <c r="G7" s="36">
        <v>0</v>
      </c>
    </row>
    <row r="8" spans="2:10" ht="16" x14ac:dyDescent="0.4">
      <c r="B8">
        <f>GETPIVOTDATA("ProductID",$B$6)</f>
        <v>20</v>
      </c>
      <c r="F8" s="26" t="s">
        <v>33</v>
      </c>
      <c r="G8" s="36">
        <v>0</v>
      </c>
    </row>
    <row r="9" spans="2:10" ht="16" x14ac:dyDescent="0.4">
      <c r="F9" s="26" t="s">
        <v>76</v>
      </c>
      <c r="G9" s="36">
        <v>6</v>
      </c>
      <c r="I9" s="23" t="s">
        <v>100</v>
      </c>
      <c r="J9" t="s">
        <v>101</v>
      </c>
    </row>
    <row r="10" spans="2:10" ht="16" x14ac:dyDescent="0.4">
      <c r="B10" s="23" t="s">
        <v>20</v>
      </c>
      <c r="C10" t="s">
        <v>94</v>
      </c>
      <c r="F10" s="26" t="s">
        <v>56</v>
      </c>
      <c r="G10" s="36">
        <v>7</v>
      </c>
      <c r="I10" s="33">
        <v>45900</v>
      </c>
      <c r="J10" s="34">
        <v>1028</v>
      </c>
    </row>
    <row r="11" spans="2:10" ht="16" x14ac:dyDescent="0.4">
      <c r="F11" s="26" t="s">
        <v>69</v>
      </c>
      <c r="G11" s="36">
        <v>7</v>
      </c>
      <c r="I11" s="33" t="s">
        <v>95</v>
      </c>
      <c r="J11" s="34">
        <v>1028</v>
      </c>
    </row>
    <row r="12" spans="2:10" ht="16" x14ac:dyDescent="0.4">
      <c r="B12" t="s">
        <v>93</v>
      </c>
      <c r="F12" s="26" t="s">
        <v>78</v>
      </c>
      <c r="G12" s="36">
        <v>8</v>
      </c>
    </row>
    <row r="13" spans="2:10" ht="16" x14ac:dyDescent="0.4">
      <c r="B13" s="34">
        <v>11</v>
      </c>
      <c r="F13" s="26" t="s">
        <v>62</v>
      </c>
      <c r="G13" s="36">
        <v>18</v>
      </c>
    </row>
    <row r="14" spans="2:10" ht="16" x14ac:dyDescent="0.4">
      <c r="B14">
        <f>GETPIVOTDATA("Reorder",$B$12)</f>
        <v>11</v>
      </c>
      <c r="F14" s="26" t="s">
        <v>50</v>
      </c>
      <c r="G14" s="36">
        <v>24</v>
      </c>
      <c r="I14" s="23" t="s">
        <v>100</v>
      </c>
      <c r="J14" t="s">
        <v>103</v>
      </c>
    </row>
    <row r="15" spans="2:10" ht="16" x14ac:dyDescent="0.4">
      <c r="F15" s="26" t="s">
        <v>44</v>
      </c>
      <c r="G15" s="36">
        <v>27</v>
      </c>
      <c r="I15" s="35" t="s">
        <v>102</v>
      </c>
      <c r="J15" s="40">
        <v>0.45</v>
      </c>
    </row>
    <row r="16" spans="2:10" ht="16" x14ac:dyDescent="0.4">
      <c r="F16" s="26" t="s">
        <v>54</v>
      </c>
      <c r="G16" s="36">
        <v>28</v>
      </c>
      <c r="I16" s="35" t="s">
        <v>94</v>
      </c>
      <c r="J16" s="40">
        <v>0.55000000000000004</v>
      </c>
    </row>
    <row r="17" spans="6:10" ht="16" x14ac:dyDescent="0.4">
      <c r="F17" s="26" t="s">
        <v>80</v>
      </c>
      <c r="G17" s="36">
        <v>35</v>
      </c>
      <c r="I17" s="35" t="s">
        <v>95</v>
      </c>
      <c r="J17" s="39">
        <v>1</v>
      </c>
    </row>
    <row r="18" spans="6:10" ht="16" x14ac:dyDescent="0.4">
      <c r="F18" s="26" t="s">
        <v>82</v>
      </c>
      <c r="G18" s="36">
        <v>45</v>
      </c>
    </row>
    <row r="19" spans="6:10" ht="16" x14ac:dyDescent="0.4">
      <c r="F19" s="26" t="s">
        <v>41</v>
      </c>
      <c r="G19" s="36">
        <v>49</v>
      </c>
    </row>
    <row r="20" spans="6:10" ht="16" x14ac:dyDescent="0.4">
      <c r="F20" s="26" t="s">
        <v>29</v>
      </c>
      <c r="G20" s="36">
        <v>51</v>
      </c>
    </row>
    <row r="21" spans="6:10" ht="16" x14ac:dyDescent="0.4">
      <c r="F21" s="26" t="s">
        <v>48</v>
      </c>
      <c r="G21" s="36">
        <v>55</v>
      </c>
    </row>
    <row r="22" spans="6:10" ht="16" x14ac:dyDescent="0.4">
      <c r="F22" s="26" t="s">
        <v>37</v>
      </c>
      <c r="G22" s="36">
        <v>71</v>
      </c>
    </row>
    <row r="23" spans="6:10" ht="16" x14ac:dyDescent="0.4">
      <c r="F23" s="26" t="s">
        <v>95</v>
      </c>
      <c r="G23" s="36">
        <v>431</v>
      </c>
    </row>
  </sheetData>
  <conditionalFormatting pivot="1" sqref="G3:G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278FCFC0-9327-4C3E-BE1E-EE61E0B933CD}">
  <ds:schemaRefs/>
</ds:datastoreItem>
</file>

<file path=customXml/itemProps2.xml><?xml version="1.0" encoding="utf-8"?>
<ds:datastoreItem xmlns:ds="http://schemas.openxmlformats.org/officeDocument/2006/customXml" ds:itemID="{0721A6B2-F9A9-415D-B7BE-42D1323FB94C}">
  <ds:schemaRefs/>
</ds:datastoreItem>
</file>

<file path=customXml/itemProps3.xml><?xml version="1.0" encoding="utf-8"?>
<ds:datastoreItem xmlns:ds="http://schemas.openxmlformats.org/officeDocument/2006/customXml" ds:itemID="{AD242247-4A55-4874-A379-AEDCC1F86E8E}">
  <ds:schemaRefs/>
</ds:datastoreItem>
</file>

<file path=customXml/itemProps4.xml><?xml version="1.0" encoding="utf-8"?>
<ds:datastoreItem xmlns:ds="http://schemas.openxmlformats.org/officeDocument/2006/customXml" ds:itemID="{A6505B3A-4854-4B60-A08D-C1F9B638560C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88651EEA-D620-4CB8-863F-42281B555538}">
  <ds:schemaRefs/>
</ds:datastoreItem>
</file>

<file path=customXml/itemProps6.xml><?xml version="1.0" encoding="utf-8"?>
<ds:datastoreItem xmlns:ds="http://schemas.openxmlformats.org/officeDocument/2006/customXml" ds:itemID="{27890935-6A67-4803-8703-8F78BD2A36FE}">
  <ds:schemaRefs/>
</ds:datastoreItem>
</file>

<file path=customXml/itemProps7.xml><?xml version="1.0" encoding="utf-8"?>
<ds:datastoreItem xmlns:ds="http://schemas.openxmlformats.org/officeDocument/2006/customXml" ds:itemID="{6126199B-2909-494E-BE50-BB2FAC0DDA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Products</vt:lpstr>
      <vt:lpstr>QuantityOnHand</vt:lpstr>
      <vt:lpstr>Recieved</vt:lpstr>
      <vt:lpstr>Out Of Stock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EAZI</dc:creator>
  <cp:lastModifiedBy>EAZI</cp:lastModifiedBy>
  <dcterms:created xsi:type="dcterms:W3CDTF">2026-03-28T12:44:21Z</dcterms:created>
  <dcterms:modified xsi:type="dcterms:W3CDTF">2026-04-03T17:55:46Z</dcterms:modified>
</cp:coreProperties>
</file>